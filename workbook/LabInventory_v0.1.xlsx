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 lockWindows="0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an" sheetId="2" state="visible" r:id="rId2"/>
    <sheet xmlns:r="http://schemas.openxmlformats.org/officeDocument/2006/relationships" name="Receiving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ontainers" sheetId="5" state="visible" r:id="rId5"/>
    <sheet xmlns:r="http://schemas.openxmlformats.org/officeDocument/2006/relationships" name="Transactions" sheetId="6" state="visible" r:id="rId6"/>
    <sheet xmlns:r="http://schemas.openxmlformats.org/officeDocument/2006/relationships" name="Suppliers" sheetId="7" state="visible" r:id="rId7"/>
    <sheet xmlns:r="http://schemas.openxmlformats.org/officeDocument/2006/relationships" name="Locations" sheetId="8" state="visible" r:id="rId8"/>
    <sheet xmlns:r="http://schemas.openxmlformats.org/officeDocument/2006/relationships" name="Settings" sheetId="9" state="visible" r:id="rId9"/>
  </sheets>
  <definedNames>
    <definedName name="rngScanInput">'Scan'!$D7:$D7</definedName>
    <definedName name="rngScanStatusMessage">'Scan'!$D9:$D9</definedName>
    <definedName name="rngScanResultCard">'Scan'!$D4:$K34</definedName>
    <definedName name="rngReceiveProductID">'Receiving'!$D7:$D7</definedName>
    <definedName name="rngReceiveNextContainerID">'Receiving'!$D9:$D9</definedName>
    <definedName name="rngReceiveNextBarcode">'Receiving'!$D10:$D10</definedName>
    <definedName name="rngReceiveLot">'Receiving'!$D12:$D12</definedName>
    <definedName name="rngReceiveExpiry">'Receiving'!$D13:$D13</definedName>
    <definedName name="rngReceiveRetest">'Receiving'!$D14:$D14</definedName>
    <definedName name="rngReceiveLocation">'Receiving'!$D15:$D15</definedName>
    <definedName name="rngReceiveQuantity">'Receiving'!$D16:$D16</definedName>
    <definedName name="rngReceiveStatusMessage">'Receiving'!$D19:$D19</definedName>
    <definedName name="lstProductType">'Settings'!$H4:$H6</definedName>
    <definedName name="lstCategory">'Settings'!$H8:$H13</definedName>
    <definedName name="lstLocationType">'Settings'!$H15:$H20</definedName>
    <definedName name="lstDisposalReason">'Settings'!$H22:$H26</definedName>
    <definedName name="lstTransactionReason">'Settings'!$H28:$H33</definedName>
    <definedName name="lstBool">'Settings'!$H35:$H36</definedName>
    <definedName name="lstProductsProductID">'Products'!$A$1:$A$1048576</definedName>
    <definedName name="lstProductsProductName">'Products'!$B$1:$B$1048576</definedName>
    <definedName name="lstStatusList">'Settings'!$A$1:$A$1048576</definedName>
    <definedName name="lstTransactionTypeList">'Settings'!$A$1:$A$1048576</definedName>
    <definedName name="lstExpiryClassList">'Settings'!$A$1:$A$1048576</definedName>
    <definedName name="lstSupplierIDs">'Suppliers'!$A$1:$A$1048576</definedName>
    <definedName name="lstLocationIDs">'Locations'!$A$1:$A$1048576</definedName>
    <definedName name="ExpiryWarningDays30">'Settings'!$B6:$B6</definedName>
    <definedName name="ExpiryWarningDays60">'Settings'!$B7:$B7</definedName>
    <definedName name="ExpiryWarningDays90">'Settings'!$B8:$B8</definedName>
    <definedName name="DefaultLocationID">'Settings'!$B9:$B9</definedName>
    <definedName name="DefaultStatusNewContainers">'Settings'!$B10:$B10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2">
    <font>
      <name val="Calibri"/>
      <family val="2"/>
      <color theme="1"/>
      <sz val="11"/>
      <scheme val="minor"/>
    </font>
    <font>
      <b val="1"/>
      <color rgb="001F4E79"/>
      <sz val="16"/>
    </font>
    <font>
      <color rgb="00555555"/>
      <sz val="10"/>
    </font>
    <font>
      <b val="1"/>
      <color rgb="001F4E79"/>
      <sz val="12"/>
    </font>
    <font>
      <b val="1"/>
      <color rgb="00FFFFFF"/>
      <sz val="11"/>
    </font>
    <font>
      <i val="1"/>
      <color rgb="00777777"/>
      <sz val="9"/>
    </font>
    <font>
      <sz val="10"/>
    </font>
    <font>
      <b val="1"/>
      <sz val="14"/>
    </font>
    <font>
      <b val="1"/>
      <sz val="12"/>
    </font>
    <font>
      <sz val="9"/>
    </font>
    <font>
      <color rgb="00B71C1C"/>
      <sz val="9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607D8B"/>
      </patternFill>
    </fill>
    <fill>
      <patternFill patternType="solid">
        <fgColor rgb="00FFFDE7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applyProtection="1" pivotButton="0" quotePrefix="0" xfId="0">
      <alignment horizontal="center" vertical="center"/>
      <protection locked="0" hidden="0"/>
    </xf>
    <xf numFmtId="0" fontId="8" fillId="0" borderId="0" pivotButton="0" quotePrefix="0" xfId="0"/>
    <xf numFmtId="0" fontId="6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0" fillId="5" borderId="0" applyProtection="1" pivotButton="0" quotePrefix="0" xfId="0">
      <protection locked="0" hidden="0"/>
    </xf>
    <xf numFmtId="0" fontId="11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3CD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  <dxf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ScanResults" displayName="tblScanResults" ref="D12:P13" headerRowCount="1">
  <autoFilter ref="D12:P13"/>
  <tableColumns count="13">
    <tableColumn id="4" name="Barcode"/>
    <tableColumn id="5" name="ContainerID"/>
    <tableColumn id="6" name="ProductID"/>
    <tableColumn id="7" name="ProductName"/>
    <tableColumn id="8" name="BatchLotNumber"/>
    <tableColumn id="9" name="ExpiryDate"/>
    <tableColumn id="10" name="StorageLocationID"/>
    <tableColumn id="11" name="LocationName"/>
    <tableColumn id="12" name="Status"/>
    <tableColumn id="13" name="OpenedDate"/>
    <tableColumn id="14" name="ExpiryClass"/>
    <tableColumn id="15" name="DuplicateFlag"/>
    <tableColumn id="16" name="Lookup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ceiveStaging" displayName="tblReceiveStaging" ref="B31:M32" headerRowCount="1">
  <autoFilter ref="B31:M32"/>
  <tableColumns count="12">
    <tableColumn id="2" name="ProductID"/>
    <tableColumn id="3" name="ProductName"/>
    <tableColumn id="4" name="NextContainerID"/>
    <tableColumn id="5" name="NextBarcode"/>
    <tableColumn id="6" name="BatchLotNumber"/>
    <tableColumn id="7" name="ExpiryDate"/>
    <tableColumn id="8" name="RetestDate"/>
    <tableColumn id="9" name="StorageLocationID"/>
    <tableColumn id="10" name="Status"/>
    <tableColumn id="11" name="Quantity"/>
    <tableColumn id="12" name="ValidationMessage"/>
    <tableColumn id="13" name="Readiness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oducts" displayName="tblProducts" ref="A4:U10" headerRowCount="1">
  <autoFilter ref="A4:U10"/>
  <tableColumns count="21">
    <tableColumn id="1" name="ProductID"/>
    <tableColumn id="2" name="ProductName"/>
    <tableColumn id="3" name="ProductType"/>
    <tableColumn id="4" name="Category"/>
    <tableColumn id="5" name="Manufacturer"/>
    <tableColumn id="6" name="ManufacturerCatalogueNumber"/>
    <tableColumn id="7" name="CASNumber"/>
    <tableColumn id="8" name="Concentration"/>
    <tableColumn id="9" name="Grade"/>
    <tableColumn id="10" name="StandardContainerDescription"/>
    <tableColumn id="11" name="SupplierID"/>
    <tableColumn id="12" name="StorageRequirements"/>
    <tableColumn id="13" name="HazardClassification"/>
    <tableColumn id="14" name="SDSReference"/>
    <tableColumn id="15" name="MinimumContainerStock"/>
    <tableColumn id="16" name="TargetContainerStock"/>
    <tableColumn id="17" name="ReorderQuantity"/>
    <tableColumn id="18" name="Active"/>
    <tableColumn id="19" name="Notes"/>
    <tableColumn id="20" name="HelperAvailableStock"/>
    <tableColumn id="21" name="HelperStockCla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ontainers" displayName="tblContainers" ref="A4:O25" headerRowCount="1">
  <autoFilter ref="A4:O25"/>
  <tableColumns count="15">
    <tableColumn id="1" name="ContainerID"/>
    <tableColumn id="2" name="Barcode"/>
    <tableColumn id="3" name="ProductID"/>
    <tableColumn id="4" name="BatchLotNumber"/>
    <tableColumn id="5" name="ExpiryDate"/>
    <tableColumn id="6" name="RetestDate"/>
    <tableColumn id="7" name="DateReceived"/>
    <tableColumn id="8" name="StorageLocationID"/>
    <tableColumn id="9" name="Status"/>
    <tableColumn id="10" name="OpenedDate"/>
    <tableColumn id="11" name="DisposalDate"/>
    <tableColumn id="12" name="DisposalReason"/>
    <tableColumn id="13" name="Notes"/>
    <tableColumn id="14" name="HelperContainerNum"/>
    <tableColumn id="15" name="HelperBarcodeN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Transactions" displayName="tblTransactions" ref="A4:P35" headerRowCount="1">
  <autoFilter ref="A4:P35"/>
  <tableColumns count="16">
    <tableColumn id="1" name="TransactionID"/>
    <tableColumn id="2" name="Timestamp"/>
    <tableColumn id="3" name="Operator"/>
    <tableColumn id="4" name="Barcode"/>
    <tableColumn id="5" name="ContainerID"/>
    <tableColumn id="6" name="ProductID"/>
    <tableColumn id="7" name="ProductName"/>
    <tableColumn id="8" name="TransactionType"/>
    <tableColumn id="9" name="PreviousStatus"/>
    <tableColumn id="10" name="NewStatus"/>
    <tableColumn id="11" name="PreviousLocation"/>
    <tableColumn id="12" name="NewLocation"/>
    <tableColumn id="13" name="BatchLotNumber"/>
    <tableColumn id="14" name="Reason"/>
    <tableColumn id="15" name="Reference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uppliers" displayName="tblSuppliers" ref="A4:H7" headerRowCount="1">
  <autoFilter ref="A4:H7"/>
  <tableColumns count="8">
    <tableColumn id="1" name="SupplierID"/>
    <tableColumn id="2" name="SupplierName"/>
    <tableColumn id="3" name="ContactName"/>
    <tableColumn id="4" name="Email"/>
    <tableColumn id="5" name="Phone"/>
    <tableColumn id="6" name="Website"/>
    <tableColumn id="7" name="Address"/>
    <tableColumn id="8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Locations" displayName="tblLocations" ref="A4:E10" headerRowCount="1">
  <autoFilter ref="A4:E10"/>
  <tableColumns count="5">
    <tableColumn id="1" name="StorageLocationID"/>
    <tableColumn id="2" name="LocationName"/>
    <tableColumn id="3" name="LocationType"/>
    <tableColumn id="4" name="Description"/>
    <tableColumn id="5" name="Acti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ettings" displayName="tblSettings" ref="A5:C13" headerRowCount="1">
  <autoFilter ref="A5:C13"/>
  <tableColumns count="3">
    <tableColumn id="1" name="SettingKey"/>
    <tableColumn id="2" name="SettingValue"/>
    <tableColumn id="3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StatusList" displayName="tblStatusList" ref="A16:B22" headerRowCount="1">
  <autoFilter ref="A16:B22"/>
  <tableColumns count="2">
    <tableColumn id="1" name="StatusValue"/>
    <tableColumn id="2" name="Lab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TransactionTypeList" displayName="tblTransactionTypeList" ref="A25:B34" headerRowCount="1">
  <autoFilter ref="A25:B34"/>
  <tableColumns count="2">
    <tableColumn id="1" name="TransactionTypeValue"/>
    <tableColumn id="2" name="Labe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ExpiryClassList" displayName="tblExpiryClassList" ref="A37:B42" headerRowCount="1">
  <autoFilter ref="A37:B42"/>
  <tableColumns count="2">
    <tableColumn id="1" name="ExpiryClassValue"/>
    <tableColumn id="2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Relationship Type="http://schemas.openxmlformats.org/officeDocument/2006/relationships/table" Target="/xl/tables/table10.xml" Id="rId3"/><Relationship Type="http://schemas.openxmlformats.org/officeDocument/2006/relationships/table" Target="/xl/tables/table11.xml" Id="rId4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Laboratory Inventory — Dashboard</t>
        </is>
      </c>
    </row>
    <row r="2">
      <c r="A2" s="2" t="inlineStr">
        <is>
          <t>All figures are formula-derived from source Tables (no manual stock numbers).</t>
        </is>
      </c>
    </row>
    <row r="4">
      <c r="B4" s="3" t="inlineStr">
        <is>
          <t>Key statistics</t>
        </is>
      </c>
    </row>
    <row r="5">
      <c r="B5" s="4" t="inlineStr">
        <is>
          <t>Total active products</t>
        </is>
      </c>
      <c r="C5" s="5">
        <f>COUNTIF(tblProducts[Active],TRUE)</f>
        <v/>
      </c>
    </row>
    <row r="6">
      <c r="B6" s="4" t="inlineStr">
        <is>
          <t>Total available containers (usable)</t>
        </is>
      </c>
      <c r="C6" s="5">
        <f>COUNTIF(tblContainers[Status],"Available")-COUNTIFS(tblContainers[Status],"Available",tblContainers[ExpiryDate],"&lt;"&amp;TODAY())</f>
        <v/>
      </c>
    </row>
    <row r="7">
      <c r="B7" s="4" t="inlineStr">
        <is>
          <t>Containers in use</t>
        </is>
      </c>
      <c r="C7" s="5">
        <f>COUNTIF(tblContainers[Status],"InUse")</f>
        <v/>
      </c>
    </row>
    <row r="8">
      <c r="B8" s="4" t="inlineStr">
        <is>
          <t>Expired containers (any status)</t>
        </is>
      </c>
      <c r="C8" s="5">
        <f>COUNTIF(tblContainers[ExpiryDate],"&lt;"&amp;TODAY())</f>
        <v/>
      </c>
    </row>
    <row r="9">
      <c r="B9" s="4" t="inlineStr">
        <is>
          <t>Available expiring ≤30 days</t>
        </is>
      </c>
      <c r="C9" s="5">
        <f>COUNTIFS(tblContainers[Status],"Available",tblContainers[ExpiryDate],"&gt;="&amp;TODAY(),tblContainers[ExpiryDate],"&lt;="&amp;TODAY()+ExpiryWarningDays30)</f>
        <v/>
      </c>
    </row>
    <row r="10">
      <c r="B10" s="4" t="inlineStr">
        <is>
          <t>Available expiring 31–60 days</t>
        </is>
      </c>
      <c r="C10" s="5">
        <f>COUNTIFS(tblContainers[Status],"Available",tblContainers[ExpiryDate],"&gt;"&amp;TODAY()+ExpiryWarningDays30,tblContainers[ExpiryDate],"&lt;="&amp;TODAY()+ExpiryWarningDays60)</f>
        <v/>
      </c>
    </row>
    <row r="11">
      <c r="B11" s="4" t="inlineStr">
        <is>
          <t>Available expiring 61–90 days</t>
        </is>
      </c>
      <c r="C11" s="5">
        <f>COUNTIFS(tblContainers[Status],"Available",tblContainers[ExpiryDate],"&gt;"&amp;TODAY()+ExpiryWarningDays60,tblContainers[ExpiryDate],"&lt;="&amp;TODAY()+ExpiryWarningDays90)</f>
        <v/>
      </c>
    </row>
    <row r="12">
      <c r="B12" s="4" t="inlineStr">
        <is>
          <t>Products out of stock</t>
        </is>
      </c>
      <c r="C12" s="5">
        <f>COUNTIFS(tblProducts[Active],TRUE,tblProducts[HelperAvailableStock],0)</f>
        <v/>
      </c>
    </row>
    <row r="13">
      <c r="B13" s="4" t="inlineStr">
        <is>
          <t>Products below minimum (reorder)</t>
        </is>
      </c>
      <c r="C13" s="5">
        <f>COUNTIFS(tblProducts[Active],TRUE,tblProducts[HelperStockClass],"Reorder")</f>
        <v/>
      </c>
    </row>
    <row r="14">
      <c r="B14" s="4" t="inlineStr">
        <is>
          <t>Products low (below target)</t>
        </is>
      </c>
      <c r="C14" s="5">
        <f>COUNTIFS(tblProducts[Active],TRUE,tblProducts[HelperStockClass],"Low")</f>
        <v/>
      </c>
    </row>
    <row r="15">
      <c r="B15" s="4" t="inlineStr">
        <is>
          <t>Received last 14 days</t>
        </is>
      </c>
      <c r="C15" s="5">
        <f>COUNTIFS(tblTransactions[TransactionType],"Receive",tblTransactions[Timestamp],"&gt;="&amp;TODAY()-14)</f>
        <v/>
      </c>
    </row>
    <row r="16">
      <c r="B16" s="4" t="inlineStr">
        <is>
          <t>TakeOpen last 14 days</t>
        </is>
      </c>
      <c r="C16" s="5">
        <f>COUNTIFS(tblTransactions[TransactionType],"TakeOpen",tblTransactions[Timestamp],"&gt;="&amp;TODAY()-14)</f>
        <v/>
      </c>
    </row>
    <row r="17">
      <c r="B17" s="4" t="inlineStr">
        <is>
          <t>Frequently used (TakeOpen count)</t>
        </is>
      </c>
      <c r="C17" s="5">
        <f>COUNTIF(tblTransactions[TransactionType],"TakeOpen")</f>
        <v/>
      </c>
    </row>
    <row r="20">
      <c r="B20" s="3" t="inlineStr">
        <is>
          <t>Product stock status (all active products)</t>
        </is>
      </c>
    </row>
    <row r="21">
      <c r="B21" s="6" t="inlineStr">
        <is>
          <t>Product</t>
        </is>
      </c>
      <c r="C21" s="6" t="inlineStr">
        <is>
          <t>Available</t>
        </is>
      </c>
      <c r="D21" s="6" t="inlineStr">
        <is>
          <t>Min</t>
        </is>
      </c>
      <c r="E21" s="6" t="inlineStr">
        <is>
          <t>Target</t>
        </is>
      </c>
      <c r="F21" s="6" t="inlineStr">
        <is>
          <t>Class</t>
        </is>
      </c>
    </row>
    <row r="22">
      <c r="B22" s="5">
        <f>IF(INDEX(tblProducts[ProductID],1)="","",INDEX(tblProducts[ProductName],1))</f>
        <v/>
      </c>
      <c r="C22" s="5">
        <f>IF(INDEX(tblProducts[ProductID],1)="","",INDEX(tblProducts[HelperAvailableStock],1))</f>
        <v/>
      </c>
      <c r="D22" s="5">
        <f>IF(INDEX(tblProducts[ProductID],1)="","",INDEX(tblProducts[MinimumContainerStock],1))</f>
        <v/>
      </c>
      <c r="E22" s="5">
        <f>IF(INDEX(tblProducts[ProductID],1)="","",INDEX(tblProducts[TargetContainerStock],1))</f>
        <v/>
      </c>
      <c r="F22" s="5">
        <f>IF(INDEX(tblProducts[ProductID],1)="","",INDEX(tblProducts[HelperStockClass],1))</f>
        <v/>
      </c>
    </row>
    <row r="23">
      <c r="B23" s="5">
        <f>IF(INDEX(tblProducts[ProductID],2)="","",INDEX(tblProducts[ProductName],2))</f>
        <v/>
      </c>
      <c r="C23" s="5">
        <f>IF(INDEX(tblProducts[ProductID],2)="","",INDEX(tblProducts[HelperAvailableStock],2))</f>
        <v/>
      </c>
      <c r="D23" s="5">
        <f>IF(INDEX(tblProducts[ProductID],2)="","",INDEX(tblProducts[MinimumContainerStock],2))</f>
        <v/>
      </c>
      <c r="E23" s="5">
        <f>IF(INDEX(tblProducts[ProductID],2)="","",INDEX(tblProducts[TargetContainerStock],2))</f>
        <v/>
      </c>
      <c r="F23" s="5">
        <f>IF(INDEX(tblProducts[ProductID],2)="","",INDEX(tblProducts[HelperStockClass],2))</f>
        <v/>
      </c>
    </row>
    <row r="24">
      <c r="B24" s="5">
        <f>IF(INDEX(tblProducts[ProductID],3)="","",INDEX(tblProducts[ProductName],3))</f>
        <v/>
      </c>
      <c r="C24" s="5">
        <f>IF(INDEX(tblProducts[ProductID],3)="","",INDEX(tblProducts[HelperAvailableStock],3))</f>
        <v/>
      </c>
      <c r="D24" s="5">
        <f>IF(INDEX(tblProducts[ProductID],3)="","",INDEX(tblProducts[MinimumContainerStock],3))</f>
        <v/>
      </c>
      <c r="E24" s="5">
        <f>IF(INDEX(tblProducts[ProductID],3)="","",INDEX(tblProducts[TargetContainerStock],3))</f>
        <v/>
      </c>
      <c r="F24" s="5">
        <f>IF(INDEX(tblProducts[ProductID],3)="","",INDEX(tblProducts[HelperStockClass],3))</f>
        <v/>
      </c>
    </row>
    <row r="25">
      <c r="B25" s="5">
        <f>IF(INDEX(tblProducts[ProductID],4)="","",INDEX(tblProducts[ProductName],4))</f>
        <v/>
      </c>
      <c r="C25" s="5">
        <f>IF(INDEX(tblProducts[ProductID],4)="","",INDEX(tblProducts[HelperAvailableStock],4))</f>
        <v/>
      </c>
      <c r="D25" s="5">
        <f>IF(INDEX(tblProducts[ProductID],4)="","",INDEX(tblProducts[MinimumContainerStock],4))</f>
        <v/>
      </c>
      <c r="E25" s="5">
        <f>IF(INDEX(tblProducts[ProductID],4)="","",INDEX(tblProducts[TargetContainerStock],4))</f>
        <v/>
      </c>
      <c r="F25" s="5">
        <f>IF(INDEX(tblProducts[ProductID],4)="","",INDEX(tblProducts[HelperStockClass],4))</f>
        <v/>
      </c>
    </row>
    <row r="26">
      <c r="B26" s="5">
        <f>IF(INDEX(tblProducts[ProductID],5)="","",INDEX(tblProducts[ProductName],5))</f>
        <v/>
      </c>
      <c r="C26" s="5">
        <f>IF(INDEX(tblProducts[ProductID],5)="","",INDEX(tblProducts[HelperAvailableStock],5))</f>
        <v/>
      </c>
      <c r="D26" s="5">
        <f>IF(INDEX(tblProducts[ProductID],5)="","",INDEX(tblProducts[MinimumContainerStock],5))</f>
        <v/>
      </c>
      <c r="E26" s="5">
        <f>IF(INDEX(tblProducts[ProductID],5)="","",INDEX(tblProducts[TargetContainerStock],5))</f>
        <v/>
      </c>
      <c r="F26" s="5">
        <f>IF(INDEX(tblProducts[ProductID],5)="","",INDEX(tblProducts[HelperStockClass],5))</f>
        <v/>
      </c>
    </row>
    <row r="27">
      <c r="B27" s="5">
        <f>IF(INDEX(tblProducts[ProductID],6)="","",INDEX(tblProducts[ProductName],6))</f>
        <v/>
      </c>
      <c r="C27" s="5">
        <f>IF(INDEX(tblProducts[ProductID],6)="","",INDEX(tblProducts[HelperAvailableStock],6))</f>
        <v/>
      </c>
      <c r="D27" s="5">
        <f>IF(INDEX(tblProducts[ProductID],6)="","",INDEX(tblProducts[MinimumContainerStock],6))</f>
        <v/>
      </c>
      <c r="E27" s="5">
        <f>IF(INDEX(tblProducts[ProductID],6)="","",INDEX(tblProducts[TargetContainerStock],6))</f>
        <v/>
      </c>
      <c r="F27" s="5">
        <f>IF(INDEX(tblProducts[ProductID],6)="","",INDEX(tblProducts[HelperStockClass],6))</f>
        <v/>
      </c>
    </row>
    <row r="32">
      <c r="B32" s="3" t="inlineStr">
        <is>
          <t>Inventory by category</t>
        </is>
      </c>
    </row>
    <row r="33">
      <c r="B33" s="6" t="inlineStr">
        <is>
          <t>Category</t>
        </is>
      </c>
      <c r="C33" s="6" t="inlineStr">
        <is>
          <t>Available</t>
        </is>
      </c>
    </row>
    <row r="34">
      <c r="B34" s="4" t="inlineStr">
        <is>
          <t>Pipette Tips</t>
        </is>
      </c>
      <c r="C34" s="5">
        <f>SUMPRODUCT((tblProducts[Category]="Pipette Tips")*tblProducts[HelperAvailableStock])</f>
        <v/>
      </c>
    </row>
    <row r="35">
      <c r="B35" s="4" t="inlineStr">
        <is>
          <t>Tubes</t>
        </is>
      </c>
      <c r="C35" s="5">
        <f>SUMPRODUCT((tblProducts[Category]="Tubes")*tblProducts[HelperAvailableStock])</f>
        <v/>
      </c>
    </row>
    <row r="36">
      <c r="B36" s="4" t="inlineStr">
        <is>
          <t>Solvent</t>
        </is>
      </c>
      <c r="C36" s="5">
        <f>SUMPRODUCT((tblProducts[Category]="Solvent")*tblProducts[HelperAvailableStock])</f>
        <v/>
      </c>
    </row>
    <row r="37">
      <c r="B37" s="4" t="inlineStr">
        <is>
          <t>Reagent</t>
        </is>
      </c>
      <c r="C37" s="5">
        <f>SUMPRODUCT((tblProducts[Category]="Reagent")*tblProducts[HelperAvailableStock])</f>
        <v/>
      </c>
    </row>
    <row r="38">
      <c r="B38" s="4" t="inlineStr">
        <is>
          <t>Consumable</t>
        </is>
      </c>
      <c r="C38" s="5">
        <f>SUMPRODUCT((tblProducts[Category]="Consumable")*tblProducts[HelperAvailableStock])</f>
        <v/>
      </c>
    </row>
    <row r="39">
      <c r="B39" s="4" t="inlineStr">
        <is>
          <t>General</t>
        </is>
      </c>
      <c r="C39" s="5">
        <f>SUMPRODUCT((tblProducts[Category]="General")*tblProducts[HelperAvailableStock])</f>
        <v/>
      </c>
    </row>
    <row r="41">
      <c r="B41" s="3" t="inlineStr">
        <is>
          <t>Most frequently used products (TakeOpen count)</t>
        </is>
      </c>
    </row>
    <row r="42">
      <c r="B42" s="6" t="inlineStr">
        <is>
          <t>Product</t>
        </is>
      </c>
      <c r="C42" s="6" t="inlineStr">
        <is>
          <t>TakeOpen count</t>
        </is>
      </c>
    </row>
    <row r="43">
      <c r="B43" s="4">
        <f>IF(INDEX(tblProducts[ProductID],1)="","",INDEX(tblProducts[ProductName],1))</f>
        <v/>
      </c>
      <c r="C43" s="5">
        <f>IF(INDEX(tblProducts[ProductID],1)="","",COUNTIFS(tblTransactions[ProductID],INDEX(tblProducts[ProductID],1),tblTransactions[TransactionType],"TakeOpen"))</f>
        <v/>
      </c>
    </row>
    <row r="44">
      <c r="B44" s="4">
        <f>IF(INDEX(tblProducts[ProductID],2)="","",INDEX(tblProducts[ProductName],2))</f>
        <v/>
      </c>
      <c r="C44" s="5">
        <f>IF(INDEX(tblProducts[ProductID],2)="","",COUNTIFS(tblTransactions[ProductID],INDEX(tblProducts[ProductID],2),tblTransactions[TransactionType],"TakeOpen"))</f>
        <v/>
      </c>
    </row>
    <row r="45">
      <c r="B45" s="4">
        <f>IF(INDEX(tblProducts[ProductID],3)="","",INDEX(tblProducts[ProductName],3))</f>
        <v/>
      </c>
      <c r="C45" s="5">
        <f>IF(INDEX(tblProducts[ProductID],3)="","",COUNTIFS(tblTransactions[ProductID],INDEX(tblProducts[ProductID],3),tblTransactions[TransactionType],"TakeOpen"))</f>
        <v/>
      </c>
    </row>
    <row r="46">
      <c r="B46" s="4">
        <f>IF(INDEX(tblProducts[ProductID],4)="","",INDEX(tblProducts[ProductName],4))</f>
        <v/>
      </c>
      <c r="C46" s="5">
        <f>IF(INDEX(tblProducts[ProductID],4)="","",COUNTIFS(tblTransactions[ProductID],INDEX(tblProducts[ProductID],4),tblTransactions[TransactionType],"TakeOpen"))</f>
        <v/>
      </c>
    </row>
    <row r="47">
      <c r="B47" s="4">
        <f>IF(INDEX(tblProducts[ProductID],5)="","",INDEX(tblProducts[ProductName],5))</f>
        <v/>
      </c>
      <c r="C47" s="5">
        <f>IF(INDEX(tblProducts[ProductID],5)="","",COUNTIFS(tblTransactions[ProductID],INDEX(tblProducts[ProductID],5),tblTransactions[TransactionType],"TakeOpen"))</f>
        <v/>
      </c>
    </row>
    <row r="48">
      <c r="B48" s="4">
        <f>IF(INDEX(tblProducts[ProductID],6)="","",INDEX(tblProducts[ProductName],6))</f>
        <v/>
      </c>
      <c r="C48" s="5">
        <f>IF(INDEX(tblProducts[ProductID],6)="","",COUNTIFS(tblTransactions[ProductID],INDEX(tblProducts[ProductID],6),tblTransactions[TransactionType],"TakeOpen"))</f>
        <v/>
      </c>
    </row>
    <row r="50">
      <c r="B50" s="3" t="inlineStr">
        <is>
          <t>Inventory by storage location (usable available)</t>
        </is>
      </c>
    </row>
    <row r="51">
      <c r="B51" s="6" t="inlineStr">
        <is>
          <t>Location</t>
        </is>
      </c>
      <c r="C51" s="6" t="inlineStr">
        <is>
          <t>Available</t>
        </is>
      </c>
    </row>
    <row r="52">
      <c r="B52" s="4">
        <f>IF(INDEX(tblLocations[StorageLocationID],1)="","",INDEX(tblLocations[LocationName],1))</f>
        <v/>
      </c>
      <c r="C52" s="5">
        <f>IF(INDEX(tblLocations[StorageLocationID],1)="","",COUNTIFS(tblContainers[StorageLocationID],INDEX(tblLocations[StorageLocationID],1),tblContainers[Status],"Available")-COUNTIFS(tblContainers[StorageLocationID],INDEX(tblLocations[StorageLocationID],1),tblContainers[Status],"Available",tblContainers[ExpiryDate],"&lt;"&amp;TODAY()))</f>
        <v/>
      </c>
    </row>
    <row r="53">
      <c r="B53" s="4">
        <f>IF(INDEX(tblLocations[StorageLocationID],2)="","",INDEX(tblLocations[LocationName],2))</f>
        <v/>
      </c>
      <c r="C53" s="5">
        <f>IF(INDEX(tblLocations[StorageLocationID],2)="","",COUNTIFS(tblContainers[StorageLocationID],INDEX(tblLocations[StorageLocationID],2),tblContainers[Status],"Available")-COUNTIFS(tblContainers[StorageLocationID],INDEX(tblLocations[StorageLocationID],2),tblContainers[Status],"Available",tblContainers[ExpiryDate],"&lt;"&amp;TODAY()))</f>
        <v/>
      </c>
    </row>
    <row r="54">
      <c r="B54" s="4">
        <f>IF(INDEX(tblLocations[StorageLocationID],3)="","",INDEX(tblLocations[LocationName],3))</f>
        <v/>
      </c>
      <c r="C54" s="5">
        <f>IF(INDEX(tblLocations[StorageLocationID],3)="","",COUNTIFS(tblContainers[StorageLocationID],INDEX(tblLocations[StorageLocationID],3),tblContainers[Status],"Available")-COUNTIFS(tblContainers[StorageLocationID],INDEX(tblLocations[StorageLocationID],3),tblContainers[Status],"Available",tblContainers[ExpiryDate],"&lt;"&amp;TODAY()))</f>
        <v/>
      </c>
    </row>
    <row r="55">
      <c r="B55" s="4">
        <f>IF(INDEX(tblLocations[StorageLocationID],4)="","",INDEX(tblLocations[LocationName],4))</f>
        <v/>
      </c>
      <c r="C55" s="5">
        <f>IF(INDEX(tblLocations[StorageLocationID],4)="","",COUNTIFS(tblContainers[StorageLocationID],INDEX(tblLocations[StorageLocationID],4),tblContainers[Status],"Available")-COUNTIFS(tblContainers[StorageLocationID],INDEX(tblLocations[StorageLocationID],4),tblContainers[Status],"Available",tblContainers[ExpiryDate],"&lt;"&amp;TODAY()))</f>
        <v/>
      </c>
    </row>
    <row r="56">
      <c r="B56" s="4">
        <f>IF(INDEX(tblLocations[StorageLocationID],5)="","",INDEX(tblLocations[LocationName],5))</f>
        <v/>
      </c>
      <c r="C56" s="5">
        <f>IF(INDEX(tblLocations[StorageLocationID],5)="","",COUNTIFS(tblContainers[StorageLocationID],INDEX(tblLocations[StorageLocationID],5),tblContainers[Status],"Available")-COUNTIFS(tblContainers[StorageLocationID],INDEX(tblLocations[StorageLocationID],5),tblContainers[Status],"Available",tblContainers[ExpiryDate],"&lt;"&amp;TODAY()))</f>
        <v/>
      </c>
    </row>
    <row r="57">
      <c r="B57" s="4">
        <f>IF(INDEX(tblLocations[StorageLocationID],6)="","",INDEX(tblLocations[LocationName],6))</f>
        <v/>
      </c>
      <c r="C57" s="5">
        <f>IF(INDEX(tblLocations[StorageLocationID],6)="","",COUNTIFS(tblContainers[StorageLocationID],INDEX(tblLocations[StorageLocationID],6),tblContainers[Status],"Available")-COUNTIFS(tblContainers[StorageLocationID],INDEX(tblLocations[StorageLocationID],6),tblContainers[Status],"Available",tblContainers[ExpiryDate],"&lt;"&amp;TODAY()))</f>
        <v/>
      </c>
    </row>
    <row r="60">
      <c r="B60" s="7" t="inlineStr">
        <is>
          <t>Compliance boundary: operational inventory control only — not an SDS, EHS, GMP/GLP, or validated LIMS system.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 password="CE4B"/>
  <conditionalFormatting sqref="F22">
    <cfRule type="expression" priority="1" dxfId="0" stopIfTrue="0">
      <formula>$F22="Reorder"</formula>
    </cfRule>
    <cfRule type="expression" priority="2" dxfId="1" stopIfTrue="0">
      <formula>$F22="OutOfStock"</formula>
    </cfRule>
    <cfRule type="expression" priority="3" dxfId="2" stopIfTrue="0">
      <formula>$F22="OK"</formula>
    </cfRule>
  </conditionalFormatting>
  <conditionalFormatting sqref="F23">
    <cfRule type="expression" priority="4" dxfId="0" stopIfTrue="0">
      <formula>$F23="Reorder"</formula>
    </cfRule>
    <cfRule type="expression" priority="5" dxfId="1" stopIfTrue="0">
      <formula>$F23="OutOfStock"</formula>
    </cfRule>
    <cfRule type="expression" priority="6" dxfId="2" stopIfTrue="0">
      <formula>$F23="OK"</formula>
    </cfRule>
  </conditionalFormatting>
  <conditionalFormatting sqref="F24">
    <cfRule type="expression" priority="7" dxfId="0" stopIfTrue="0">
      <formula>$F24="Reorder"</formula>
    </cfRule>
    <cfRule type="expression" priority="8" dxfId="1" stopIfTrue="0">
      <formula>$F24="OutOfStock"</formula>
    </cfRule>
    <cfRule type="expression" priority="9" dxfId="2" stopIfTrue="0">
      <formula>$F24="OK"</formula>
    </cfRule>
  </conditionalFormatting>
  <conditionalFormatting sqref="F25">
    <cfRule type="expression" priority="10" dxfId="0" stopIfTrue="0">
      <formula>$F25="Reorder"</formula>
    </cfRule>
    <cfRule type="expression" priority="11" dxfId="1" stopIfTrue="0">
      <formula>$F25="OutOfStock"</formula>
    </cfRule>
    <cfRule type="expression" priority="12" dxfId="2" stopIfTrue="0">
      <formula>$F25="OK"</formula>
    </cfRule>
  </conditionalFormatting>
  <conditionalFormatting sqref="F26">
    <cfRule type="expression" priority="13" dxfId="0" stopIfTrue="0">
      <formula>$F26="Reorder"</formula>
    </cfRule>
    <cfRule type="expression" priority="14" dxfId="1" stopIfTrue="0">
      <formula>$F26="OutOfStock"</formula>
    </cfRule>
    <cfRule type="expression" priority="15" dxfId="2" stopIfTrue="0">
      <formula>$F26="OK"</formula>
    </cfRule>
  </conditionalFormatting>
  <conditionalFormatting sqref="F27">
    <cfRule type="expression" priority="16" dxfId="0" stopIfTrue="0">
      <formula>$F27="Reorder"</formula>
    </cfRule>
    <cfRule type="expression" priority="17" dxfId="1" stopIfTrue="0">
      <formula>$F27="OutOfStock"</formula>
    </cfRule>
    <cfRule type="expression" priority="18" dxfId="2" stopIfTrue="0">
      <formula>$F27="OK"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" customWidth="1" min="3" max="3"/>
    <col width="18" customWidth="1" min="4" max="4"/>
    <col width="26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Scan</t>
        </is>
      </c>
    </row>
    <row r="2">
      <c r="A2" s="2" t="inlineStr">
        <is>
          <t>Scan or type a barcode (7 digits) then Enter. Lookup and validation are formula-driven — no VBA.</t>
        </is>
      </c>
    </row>
    <row r="3"/>
    <row r="4">
      <c r="B4" s="3" t="inlineStr">
        <is>
          <t>Scan</t>
        </is>
      </c>
    </row>
    <row r="5"/>
    <row r="6">
      <c r="B6" s="8" t="inlineStr">
        <is>
          <t>Scan / type barcode:</t>
        </is>
      </c>
    </row>
    <row r="7">
      <c r="D7" s="9" t="inlineStr"/>
    </row>
    <row r="8"/>
    <row r="9">
      <c r="B9" s="8" t="inlineStr">
        <is>
          <t>Status:</t>
        </is>
      </c>
      <c r="D9" s="10">
        <f>IF($D$7="","EMPTY",IF(ISNA(MATCH($D$7,tblContainers[Barcode],0)),"UNKNOWN",IF(COUNTIF(tblContainers[Barcode],$D$7)&gt;1,"DUPLICATE","FOUND")))</f>
        <v/>
      </c>
    </row>
    <row r="10"/>
    <row r="11">
      <c r="D11" s="3" t="inlineStr">
        <is>
          <t>Lookup result (formula staging)</t>
        </is>
      </c>
    </row>
    <row r="12">
      <c r="D12" s="6" t="inlineStr">
        <is>
          <t>Barcode</t>
        </is>
      </c>
      <c r="E12" s="6" t="inlineStr">
        <is>
          <t>ContainerID</t>
        </is>
      </c>
      <c r="F12" s="6" t="inlineStr">
        <is>
          <t>ProductID</t>
        </is>
      </c>
      <c r="G12" s="6" t="inlineStr">
        <is>
          <t>ProductName</t>
        </is>
      </c>
      <c r="H12" s="6" t="inlineStr">
        <is>
          <t>BatchLotNumber</t>
        </is>
      </c>
      <c r="I12" s="6" t="inlineStr">
        <is>
          <t>ExpiryDate</t>
        </is>
      </c>
      <c r="J12" s="6" t="inlineStr">
        <is>
          <t>StorageLocationID</t>
        </is>
      </c>
      <c r="K12" s="6" t="inlineStr">
        <is>
          <t>LocationName</t>
        </is>
      </c>
      <c r="L12" s="6" t="inlineStr">
        <is>
          <t>Status</t>
        </is>
      </c>
      <c r="M12" s="6" t="inlineStr">
        <is>
          <t>OpenedDate</t>
        </is>
      </c>
      <c r="N12" s="6" t="inlineStr">
        <is>
          <t>ExpiryClass</t>
        </is>
      </c>
      <c r="O12" s="6" t="inlineStr">
        <is>
          <t>DuplicateFlag</t>
        </is>
      </c>
      <c r="P12" s="6" t="inlineStr">
        <is>
          <t>LookupState</t>
        </is>
      </c>
    </row>
    <row r="13">
      <c r="D13" s="5">
        <f>IF($D$7="","",$D$7)</f>
        <v/>
      </c>
      <c r="E13" s="5">
        <f>IF($D$7="","",IF(ISNA(MATCH($D$7,tblContainers[Barcode],0)),"",INDEX(tblContainers[ContainerID],MATCH($D$7,tblContainers[Barcode],0))))</f>
        <v/>
      </c>
      <c r="F13" s="5">
        <f>IF($D$7="","",IF(ISNA(MATCH($D$7,tblContainers[Barcode],0)),"",INDEX(tblContainers[ProductID],MATCH($D$7,tblContainers[Barcode],0))))</f>
        <v/>
      </c>
      <c r="G13" s="5">
        <f>IF($D13="","",IF(ISNA(MATCH($F13,tblProducts[ProductID],0)),"",INDEX(tblProducts[ProductName],MATCH($F13,tblProducts[ProductID],0))))</f>
        <v/>
      </c>
      <c r="H13" s="5">
        <f>IF($D$7="","",IF(ISNA(MATCH($D$7,tblContainers[Barcode],0)),"",INDEX(tblContainers[BatchLotNumber],MATCH($D$7,tblContainers[Barcode],0))))</f>
        <v/>
      </c>
      <c r="I13" s="5">
        <f>IF($D$7="","",IF(ISNA(MATCH($D$7,tblContainers[Barcode],0)),"",INDEX(tblContainers[ExpiryDate],MATCH($D$7,tblContainers[Barcode],0))))</f>
        <v/>
      </c>
      <c r="J13" s="5">
        <f>IF($D$7="","",IF(ISNA(MATCH($D$7,tblContainers[Barcode],0)),"",INDEX(tblContainers[StorageLocationID],MATCH($D$7,tblContainers[Barcode],0))))</f>
        <v/>
      </c>
      <c r="K13" s="5">
        <f>IF($J13="","",IF(ISNA(MATCH($J13,tblLocations[StorageLocationID],0)),"",INDEX(tblLocations[LocationName],MATCH($J13,tblLocations[StorageLocationID],0))))</f>
        <v/>
      </c>
      <c r="L13" s="5">
        <f>IF($D$7="","",IF(ISNA(MATCH($D$7,tblContainers[Barcode],0)),"",INDEX(tblContainers[Status],MATCH($D$7,tblContainers[Barcode],0))))</f>
        <v/>
      </c>
      <c r="M13" s="5">
        <f>IF($D$7="","",IF(ISNA(MATCH($D$7,tblContainers[Barcode],0)),"",INDEX(tblContainers[OpenedDate],MATCH($D$7,tblContainers[Barcode],0))))</f>
        <v/>
      </c>
      <c r="N13" s="5">
        <f>IF($I13="","NoExpiry",IF($I13&lt;TODAY(),"Expired",IF($I13&lt;=TODAY()+ExpiryWarningDays30,"ExpiringSoon",IF($I13&lt;=TODAY()+ExpiryWarningDays60,"ExpiringSoon",IF($I13&lt;=TODAY()+ExpiryWarningDays90,"ExpiringSoon","Valid")))))</f>
        <v/>
      </c>
      <c r="O13" s="5">
        <f>IF($D$7="","",IF(COUNTIF(tblContainers[Barcode],$D$7)&gt;1,"DUPLICATE",""))</f>
        <v/>
      </c>
      <c r="P13" s="5">
        <f>IF($D$7="","EMPTY",IF(ISNA(MATCH($D$7,tblContainers[Barcode],0)),"UNKNOWN",IF(COUNTIF(tblContainers[Barcode],$D$7)&gt;1,"DUPLICATE","FOUND")))</f>
        <v/>
      </c>
    </row>
    <row r="14"/>
    <row r="15">
      <c r="D15" s="3" t="inlineStr">
        <is>
          <t>Container detail</t>
        </is>
      </c>
    </row>
    <row r="16">
      <c r="D16" s="11" t="inlineStr">
        <is>
          <t>Container ID</t>
        </is>
      </c>
      <c r="E16" s="5">
        <f>IF($D13="","",$E13)</f>
        <v/>
      </c>
    </row>
    <row r="17">
      <c r="D17" s="11" t="inlineStr">
        <is>
          <t>Barcode</t>
        </is>
      </c>
      <c r="E17" s="5">
        <f>IF($D13="","",$D13)</f>
        <v/>
      </c>
    </row>
    <row r="18">
      <c r="D18" s="11" t="inlineStr">
        <is>
          <t>Product</t>
        </is>
      </c>
      <c r="E18" s="5">
        <f>IF($D13="","",$G13)</f>
        <v/>
      </c>
    </row>
    <row r="19">
      <c r="D19" s="11" t="inlineStr">
        <is>
          <t>Batch / Lot</t>
        </is>
      </c>
      <c r="E19" s="5">
        <f>IF($D13="","",$H13)</f>
        <v/>
      </c>
    </row>
    <row r="20">
      <c r="D20" s="11" t="inlineStr">
        <is>
          <t>Status</t>
        </is>
      </c>
      <c r="E20" s="5">
        <f>IF($D13="","",$L13)</f>
        <v/>
      </c>
    </row>
    <row r="21">
      <c r="D21" s="11" t="inlineStr">
        <is>
          <t>Location</t>
        </is>
      </c>
      <c r="E21" s="5">
        <f>IF($D13="","",$K13)</f>
        <v/>
      </c>
    </row>
    <row r="22">
      <c r="D22" s="11" t="inlineStr">
        <is>
          <t>Expiry</t>
        </is>
      </c>
      <c r="E22" s="5">
        <f>IF($D13="","",$I13)</f>
        <v/>
      </c>
    </row>
    <row r="23">
      <c r="D23" s="11" t="inlineStr">
        <is>
          <t>Expiry class</t>
        </is>
      </c>
      <c r="E23" s="5">
        <f>IF($D13="","",$N13)</f>
        <v/>
      </c>
    </row>
    <row r="24">
      <c r="D24" s="11" t="inlineStr">
        <is>
          <t>Opened</t>
        </is>
      </c>
      <c r="E24" s="5">
        <f>IF($D13="","",IF($M13="","No","Yes"))</f>
        <v/>
      </c>
    </row>
    <row r="25">
      <c r="D25" s="11" t="inlineStr">
        <is>
          <t>Duplicate flag</t>
        </is>
      </c>
      <c r="E25" s="5">
        <f>IF($D13="","",$O13)</f>
        <v/>
      </c>
    </row>
    <row r="27">
      <c r="D27" s="3" t="inlineStr">
        <is>
          <t>Validation &amp; allowed next actions</t>
        </is>
      </c>
    </row>
    <row r="28">
      <c r="D28" s="11" t="inlineStr">
        <is>
          <t>Allowed next actions</t>
        </is>
      </c>
      <c r="E28" s="12">
        <f>IF($D13="","",IF(AND($L13="Available",$I13&lt;&gt;"",$I13&lt;TODAY()),"TakeOpen BLOCKED (expired by date) | Dispose | MarkExpired",IF($L13="Available","TakeOpen | Transfer | Dispose (confirm) | MarkExpired/Damaged/Missing (confirm)",IF($L13="InUse","Return | Dispose (confirm) | MarkExpired/Damaged/Missing (confirm)",IF($L13="Expired","Dispose | Transfer (relocation only)",IF($L13="Damaged","Dispose | Transfer (relocation only)",IF($L13="Disposed","None — terminal (Adjustment only)","Dispose (resolve) | Adjustment (found)")))))))</f>
        <v/>
      </c>
    </row>
    <row r="29">
      <c r="D29" s="11" t="inlineStr">
        <is>
          <t>Blocking conditions</t>
        </is>
      </c>
      <c r="E29" s="13">
        <f>IF($O13="DUPLICATE","DUPLICATE BARCODE — resolve before action",IF($P13="UNKNOWN","UNKNOWN BARCODE — receive first",IF($P13="EMPTY","Scan a barcode",IF(AND($L13="Available",$I13&lt;&gt;"",$I13&lt;TODAY()),"EXPIRED BY DATE — TakeOpen blocked; record MarkExpired or Dispose","None"))))</f>
        <v/>
      </c>
    </row>
    <row r="31">
      <c r="D31" s="7" t="inlineStr">
        <is>
          <t>Workflow (interim manual mode): scan → review card → perform transaction on Containers/Transactions sheets. VBA phase adds atomic commit + scan reset/focus.</t>
        </is>
      </c>
    </row>
    <row r="32">
      <c r="D32" s="7" t="inlineStr">
        <is>
          <t>Scanner: USB keyboard wedge, Enter suffix, Code 128 labels.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 password="CE4B"/>
  <dataValidations count="1">
    <dataValidation sqref="D7" showDropDown="0" showInputMessage="0" showErrorMessage="1" allowBlank="1" errorTitle="Invalid barcode" error="Barcode must be exactly 7 digits" type="custom">
      <formula1>=AND(LEN(rngScanInput)=7,ISNUMBER(VALUE(rngScanInput)))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0838F"/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" customWidth="1" min="3" max="3"/>
    <col width="20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Receiving</t>
        </is>
      </c>
    </row>
    <row r="2">
      <c r="A2" s="2" t="inlineStr">
        <is>
          <t>Guided receiving interface foundation. VBA phase performs the atomic multi-row append.</t>
        </is>
      </c>
    </row>
    <row r="3"/>
    <row r="4">
      <c r="B4" s="3" t="inlineStr">
        <is>
          <t>Receiving entry</t>
        </is>
      </c>
    </row>
    <row r="5"/>
    <row r="6">
      <c r="B6" s="8" t="inlineStr">
        <is>
          <t>Product ID:</t>
        </is>
      </c>
    </row>
    <row r="7">
      <c r="D7" s="14" t="inlineStr"/>
    </row>
    <row r="8">
      <c r="B8" s="8" t="inlineStr">
        <is>
          <t>Product name:</t>
        </is>
      </c>
      <c r="D8">
        <f>IF($D$7="","",IF(COUNTIF(tblProducts[ProductID],$D$7)=1,INDEX(tblProducts[ProductName],MATCH($D$7,tblProducts[ProductID],0)),"UNKNOWN"))</f>
        <v/>
      </c>
    </row>
    <row r="9">
      <c r="B9" s="8" t="inlineStr">
        <is>
          <t>Next Container ID:</t>
        </is>
      </c>
      <c r="D9" s="15">
        <f>IF($D$7="","",TEXT(MAX(tblContainers[HelperContainerNum])+1,"C000000"))</f>
        <v/>
      </c>
    </row>
    <row r="10">
      <c r="B10" s="8" t="inlineStr">
        <is>
          <t>Next Barcode:</t>
        </is>
      </c>
      <c r="D10" s="15">
        <f>IF($D$7="","",TEXT(MAX(tblContainers[HelperBarcodeNum])+1,"0000000"))</f>
        <v/>
      </c>
    </row>
    <row r="11"/>
    <row r="12">
      <c r="B12" s="8" t="inlineStr">
        <is>
          <t>Batch / Lot:</t>
        </is>
      </c>
      <c r="D12" s="14" t="inlineStr"/>
    </row>
    <row r="13">
      <c r="B13" s="8" t="inlineStr">
        <is>
          <t>Expiry date:</t>
        </is>
      </c>
      <c r="D13" s="14" t="inlineStr"/>
    </row>
    <row r="14">
      <c r="B14" s="8" t="inlineStr">
        <is>
          <t>Retest date:</t>
        </is>
      </c>
      <c r="D14" s="14" t="inlineStr"/>
    </row>
    <row r="15">
      <c r="B15" s="8" t="inlineStr">
        <is>
          <t>Location:</t>
        </is>
      </c>
      <c r="D15" s="14" t="inlineStr"/>
    </row>
    <row r="16">
      <c r="B16" s="8" t="inlineStr">
        <is>
          <t>Quantity:</t>
        </is>
      </c>
      <c r="D16" s="14" t="n">
        <v>1</v>
      </c>
    </row>
    <row r="17">
      <c r="B17" s="8" t="inlineStr">
        <is>
          <t>New status:</t>
        </is>
      </c>
      <c r="D17" s="16">
        <f>DefaultStatusNewContainers</f>
        <v/>
      </c>
    </row>
    <row r="18"/>
    <row r="19">
      <c r="B19" s="8" t="inlineStr">
        <is>
          <t>Readiness:</t>
        </is>
      </c>
      <c r="D19" s="17">
        <f>IF($D$7="","NOT READY — select product",IF($D$12="","NOT READY — enter lot",IF(AND($D$16&gt;=1,$D$16&lt;=999),"READY","NOT READY — quantity")))</f>
        <v/>
      </c>
    </row>
    <row r="20"/>
    <row r="21">
      <c r="B21" s="3" t="inlineStr">
        <is>
          <t>Steps (interim manual mode):</t>
        </is>
      </c>
    </row>
    <row r="22">
      <c r="B22" s="7" t="inlineStr">
        <is>
          <t>1. Select Product ID (list from tblProducts).</t>
        </is>
      </c>
    </row>
    <row r="23">
      <c r="B23" s="7" t="inlineStr">
        <is>
          <t>2. Confirm next Container ID and Barcode (formula-generated).</t>
        </is>
      </c>
    </row>
    <row r="24">
      <c r="B24" s="7" t="inlineStr">
        <is>
          <t>3. Enter lot, expiry (if any), location, quantity.</t>
        </is>
      </c>
    </row>
    <row r="25">
      <c r="B25" s="7" t="inlineStr">
        <is>
          <t>4. Append one row to tblContainers (ContainerID, Barcode, ProductID, lot, dates, location, Status=Available).</t>
        </is>
      </c>
    </row>
    <row r="26">
      <c r="B26" s="7" t="inlineStr">
        <is>
          <t>5. Append one Receive row to tblTransactions (snapshot all fields; PreviousStatus=(none)).</t>
        </is>
      </c>
    </row>
    <row r="27">
      <c r="B27" s="7" t="inlineStr">
        <is>
          <t>6. Repeat per container for batch receiving.</t>
        </is>
      </c>
    </row>
    <row r="28"/>
    <row r="29"/>
    <row r="30">
      <c r="B30" s="3" t="inlineStr">
        <is>
          <t>tblReceiveStaging (formula staging — not authoritative)</t>
        </is>
      </c>
    </row>
    <row r="31">
      <c r="B31" s="6" t="inlineStr">
        <is>
          <t>ProductID</t>
        </is>
      </c>
      <c r="C31" s="6" t="inlineStr">
        <is>
          <t>ProductName</t>
        </is>
      </c>
      <c r="D31" s="6" t="inlineStr">
        <is>
          <t>NextContainerID</t>
        </is>
      </c>
      <c r="E31" s="6" t="inlineStr">
        <is>
          <t>NextBarcode</t>
        </is>
      </c>
      <c r="F31" s="6" t="inlineStr">
        <is>
          <t>BatchLotNumber</t>
        </is>
      </c>
      <c r="G31" s="6" t="inlineStr">
        <is>
          <t>ExpiryDate</t>
        </is>
      </c>
      <c r="H31" s="6" t="inlineStr">
        <is>
          <t>RetestDate</t>
        </is>
      </c>
      <c r="I31" s="6" t="inlineStr">
        <is>
          <t>StorageLocationID</t>
        </is>
      </c>
      <c r="J31" s="6" t="inlineStr">
        <is>
          <t>Status</t>
        </is>
      </c>
      <c r="K31" s="6" t="inlineStr">
        <is>
          <t>Quantity</t>
        </is>
      </c>
      <c r="L31" s="6" t="inlineStr">
        <is>
          <t>ValidationMessage</t>
        </is>
      </c>
      <c r="M31" s="6" t="inlineStr">
        <is>
          <t>ReadinessState</t>
        </is>
      </c>
    </row>
    <row r="32">
      <c r="B32" s="5">
        <f>IF($D$7="","",$D$7)</f>
        <v/>
      </c>
      <c r="C32" s="5">
        <f>IF($D$7="","",B8)</f>
        <v/>
      </c>
      <c r="D32" s="5">
        <f>IF($D$7="","",D9)</f>
        <v/>
      </c>
      <c r="E32" s="5">
        <f>IF($D$7="","",D10)</f>
        <v/>
      </c>
      <c r="F32" s="5">
        <f>IF($D$7="","",D12)</f>
        <v/>
      </c>
      <c r="G32" s="5">
        <f>IF($D$7="","",D13)</f>
        <v/>
      </c>
      <c r="H32" s="5">
        <f>IF($D$7="","",D14)</f>
        <v/>
      </c>
      <c r="I32" s="5">
        <f>IF($D$7="","",D15)</f>
        <v/>
      </c>
      <c r="J32" s="5">
        <f>IF($D$7="","",D17)</f>
        <v/>
      </c>
      <c r="K32" s="5">
        <f>IF($D$7="","",D16)</f>
        <v/>
      </c>
      <c r="L32" s="5">
        <f>IF($D$7="","",D19)</f>
        <v/>
      </c>
      <c r="M32" s="5">
        <f>IF($D$7="","",D19)</f>
        <v/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 password="CE4B"/>
  <dataValidations count="4">
    <dataValidation sqref="D7" showDropDown="0" showInputMessage="0" showErrorMessage="1" allowBlank="1" errorTitle="Invalid value" error="Value not in list" type="list">
      <formula1>=lstProductsProductID</formula1>
    </dataValidation>
    <dataValidation sqref="D15" showDropDown="0" showInputMessage="0" showErrorMessage="1" allowBlank="1" errorTitle="Invalid value" error="Value not in list" type="list">
      <formula1>=lstLocationIDs</formula1>
    </dataValidation>
    <dataValidation sqref="D17" showDropDown="0" showInputMessage="0" showErrorMessage="1" allowBlank="1" errorTitle="Invalid value" error="Value not in list" type="list">
      <formula1>=lstStatusList</formula1>
    </dataValidation>
    <dataValidation sqref="D16" showDropDown="0" showInputMessage="0" showErrorMessage="0" allowBlank="1" error="Quantity must be a positive whole number" type="whole" operator="between">
      <formula1>1</formula1>
      <formula2>999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U200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13" customWidth="1" min="4" max="4"/>
    <col width="20" customWidth="1" min="5" max="5"/>
    <col width="16" customWidth="1" min="6" max="6"/>
    <col width="14" customWidth="1" min="7" max="7"/>
    <col width="12" customWidth="1" min="8" max="8"/>
    <col width="12" customWidth="1" min="9" max="9"/>
    <col width="20" customWidth="1" min="10" max="10"/>
    <col width="12" customWidth="1" min="11" max="11"/>
    <col width="18" customWidth="1" min="12" max="12"/>
    <col width="16" customWidth="1" min="13" max="13"/>
    <col width="14" customWidth="1" min="14" max="14"/>
    <col width="12" customWidth="1" min="15" max="15"/>
    <col width="12" customWidth="1" min="16" max="16"/>
    <col width="12" customWidth="1" min="17" max="17"/>
    <col width="8" customWidth="1" min="18" max="18"/>
    <col width="24" customWidth="1" min="19" max="19"/>
    <col width="14" customWidth="1" min="20" max="20"/>
    <col width="12" customWidth="1" min="21" max="21"/>
  </cols>
  <sheetData>
    <row r="1">
      <c r="A1" s="1" t="inlineStr">
        <is>
          <t>tblProducts</t>
        </is>
      </c>
    </row>
    <row r="2">
      <c r="A2" s="2" t="inlineStr">
        <is>
          <t>Product catalogue. Stock/reorder are formula helper columns (protected).</t>
        </is>
      </c>
    </row>
    <row r="3"/>
    <row r="4">
      <c r="A4" s="6" t="inlineStr">
        <is>
          <t>ProductID</t>
        </is>
      </c>
      <c r="B4" s="6" t="inlineStr">
        <is>
          <t>ProductName</t>
        </is>
      </c>
      <c r="C4" s="6" t="inlineStr">
        <is>
          <t>ProductType</t>
        </is>
      </c>
      <c r="D4" s="6" t="inlineStr">
        <is>
          <t>Category</t>
        </is>
      </c>
      <c r="E4" s="6" t="inlineStr">
        <is>
          <t>Manufacturer</t>
        </is>
      </c>
      <c r="F4" s="6" t="inlineStr">
        <is>
          <t>ManufacturerCatalogueNumber</t>
        </is>
      </c>
      <c r="G4" s="6" t="inlineStr">
        <is>
          <t>CASNumber</t>
        </is>
      </c>
      <c r="H4" s="6" t="inlineStr">
        <is>
          <t>Concentration</t>
        </is>
      </c>
      <c r="I4" s="6" t="inlineStr">
        <is>
          <t>Grade</t>
        </is>
      </c>
      <c r="J4" s="6" t="inlineStr">
        <is>
          <t>StandardContainerDescription</t>
        </is>
      </c>
      <c r="K4" s="6" t="inlineStr">
        <is>
          <t>SupplierID</t>
        </is>
      </c>
      <c r="L4" s="6" t="inlineStr">
        <is>
          <t>StorageRequirements</t>
        </is>
      </c>
      <c r="M4" s="6" t="inlineStr">
        <is>
          <t>HazardClassification</t>
        </is>
      </c>
      <c r="N4" s="6" t="inlineStr">
        <is>
          <t>SDSReference</t>
        </is>
      </c>
      <c r="O4" s="6" t="inlineStr">
        <is>
          <t>MinimumContainerStock</t>
        </is>
      </c>
      <c r="P4" s="6" t="inlineStr">
        <is>
          <t>TargetContainerStock</t>
        </is>
      </c>
      <c r="Q4" s="6" t="inlineStr">
        <is>
          <t>ReorderQuantity</t>
        </is>
      </c>
      <c r="R4" s="6" t="inlineStr">
        <is>
          <t>Active</t>
        </is>
      </c>
      <c r="S4" s="6" t="inlineStr">
        <is>
          <t>Notes</t>
        </is>
      </c>
      <c r="T4" s="18" t="inlineStr">
        <is>
          <t>HelperAvailableStock</t>
        </is>
      </c>
      <c r="U4" s="18" t="inlineStr">
        <is>
          <t>HelperStockClass</t>
        </is>
      </c>
    </row>
    <row r="5">
      <c r="A5" s="19" t="inlineStr">
        <is>
          <t>P000001</t>
        </is>
      </c>
      <c r="B5" s="19" t="inlineStr">
        <is>
          <t>Pipette Tips 200 uL (96/box)</t>
        </is>
      </c>
      <c r="C5" s="19" t="inlineStr">
        <is>
          <t>Consumable</t>
        </is>
      </c>
      <c r="D5" s="19" t="inlineStr">
        <is>
          <t>Pipette Tips</t>
        </is>
      </c>
      <c r="E5" s="19" t="inlineStr">
        <is>
          <t>TipTech GmbH</t>
        </is>
      </c>
      <c r="F5" s="19" t="inlineStr">
        <is>
          <t>TT-200-96</t>
        </is>
      </c>
      <c r="G5" s="19" t="n"/>
      <c r="H5" s="19" t="n"/>
      <c r="I5" s="19" t="n"/>
      <c r="J5" s="19" t="inlineStr">
        <is>
          <t>Box of 96 tips</t>
        </is>
      </c>
      <c r="K5" s="19" t="inlineStr">
        <is>
          <t>S000003</t>
        </is>
      </c>
      <c r="L5" s="19" t="inlineStr">
        <is>
          <t>Ambient</t>
        </is>
      </c>
      <c r="M5" s="19" t="n"/>
      <c r="N5" s="19" t="inlineStr">
        <is>
          <t>SDS-001</t>
        </is>
      </c>
      <c r="O5" s="19" t="n">
        <v>3</v>
      </c>
      <c r="P5" s="19" t="n">
        <v>8</v>
      </c>
      <c r="Q5" s="19" t="n">
        <v>5</v>
      </c>
      <c r="R5" s="19" t="b">
        <v>1</v>
      </c>
      <c r="S5" s="19" t="inlineStr">
        <is>
          <t>Worked example 1</t>
        </is>
      </c>
      <c r="T5">
        <f>COUNTIFS(tblContainers[ProductID],A5,tblContainers[Status],"Available")-COUNTIFS(tblContainers[ProductID],A5,tblContainers[Status],"Available",tblContainers[ExpiryDate],"&lt;"&amp;TODAY())</f>
        <v/>
      </c>
      <c r="U5">
        <f>IF(T5=0,"OutOfStock",IF(T5&lt;O5,"Reorder",IF(T5&lt;P5,"Low","OK")))</f>
        <v/>
      </c>
    </row>
    <row r="6">
      <c r="A6" s="19" t="inlineStr">
        <is>
          <t>P000002</t>
        </is>
      </c>
      <c r="B6" s="19" t="inlineStr">
        <is>
          <t>Laboratory Tubes 15 mL (100/box)</t>
        </is>
      </c>
      <c r="C6" s="19" t="inlineStr">
        <is>
          <t>Consumable</t>
        </is>
      </c>
      <c r="D6" s="19" t="inlineStr">
        <is>
          <t>Tubes</t>
        </is>
      </c>
      <c r="E6" s="19" t="inlineStr">
        <is>
          <t>LabSupply Co.</t>
        </is>
      </c>
      <c r="F6" s="19" t="inlineStr">
        <is>
          <t>LS-15-100</t>
        </is>
      </c>
      <c r="G6" s="19" t="n"/>
      <c r="H6" s="19" t="n"/>
      <c r="I6" s="19" t="n"/>
      <c r="J6" s="19" t="inlineStr">
        <is>
          <t>Box of 100 tubes</t>
        </is>
      </c>
      <c r="K6" s="19" t="inlineStr">
        <is>
          <t>S000001</t>
        </is>
      </c>
      <c r="L6" s="19" t="inlineStr">
        <is>
          <t>Ambient</t>
        </is>
      </c>
      <c r="M6" s="19" t="n"/>
      <c r="N6" s="19" t="inlineStr">
        <is>
          <t>SDS-002</t>
        </is>
      </c>
      <c r="O6" s="19" t="n">
        <v>2</v>
      </c>
      <c r="P6" s="19" t="n">
        <v>6</v>
      </c>
      <c r="Q6" s="19" t="n">
        <v>4</v>
      </c>
      <c r="R6" s="19" t="b">
        <v>1</v>
      </c>
      <c r="S6" s="19" t="inlineStr">
        <is>
          <t>Worked example 2</t>
        </is>
      </c>
      <c r="T6">
        <f>COUNTIFS(tblContainers[ProductID],A6,tblContainers[Status],"Available")-COUNTIFS(tblContainers[ProductID],A6,tblContainers[Status],"Available",tblContainers[ExpiryDate],"&lt;"&amp;TODAY())</f>
        <v/>
      </c>
      <c r="U6">
        <f>IF(T6=0,"OutOfStock",IF(T6&lt;O6,"Reorder",IF(T6&lt;P6,"Low","OK")))</f>
        <v/>
      </c>
    </row>
    <row r="7">
      <c r="A7" s="19" t="inlineStr">
        <is>
          <t>P000003</t>
        </is>
      </c>
      <c r="B7" s="19" t="inlineStr">
        <is>
          <t>Ethanol 96% (500 mL)</t>
        </is>
      </c>
      <c r="C7" s="19" t="inlineStr">
        <is>
          <t>Chemical</t>
        </is>
      </c>
      <c r="D7" s="19" t="inlineStr">
        <is>
          <t>Solvent</t>
        </is>
      </c>
      <c r="E7" s="19" t="inlineStr">
        <is>
          <t>ChemCore Ltd.</t>
        </is>
      </c>
      <c r="F7" s="19" t="inlineStr">
        <is>
          <t>CC-ET-500</t>
        </is>
      </c>
      <c r="G7" s="19" t="inlineStr">
        <is>
          <t>64-17-5</t>
        </is>
      </c>
      <c r="H7" s="19" t="inlineStr">
        <is>
          <t>96%</t>
        </is>
      </c>
      <c r="I7" s="19" t="inlineStr">
        <is>
          <t>Analytical</t>
        </is>
      </c>
      <c r="J7" s="19" t="inlineStr">
        <is>
          <t>Bottle of 500 mL</t>
        </is>
      </c>
      <c r="K7" s="19" t="inlineStr">
        <is>
          <t>S000002</t>
        </is>
      </c>
      <c r="L7" s="19" t="inlineStr">
        <is>
          <t>Flammables cabinet</t>
        </is>
      </c>
      <c r="M7" s="19" t="inlineStr">
        <is>
          <t>Flammable</t>
        </is>
      </c>
      <c r="N7" s="19" t="inlineStr">
        <is>
          <t>SDS-ETOH</t>
        </is>
      </c>
      <c r="O7" s="19" t="n">
        <v>2</v>
      </c>
      <c r="P7" s="19" t="n">
        <v>4</v>
      </c>
      <c r="Q7" s="19" t="n">
        <v>3</v>
      </c>
      <c r="R7" s="19" t="b">
        <v>1</v>
      </c>
      <c r="S7" s="19" t="inlineStr">
        <is>
          <t>Worked example 3</t>
        </is>
      </c>
      <c r="T7">
        <f>COUNTIFS(tblContainers[ProductID],A7,tblContainers[Status],"Available")-COUNTIFS(tblContainers[ProductID],A7,tblContainers[Status],"Available",tblContainers[ExpiryDate],"&lt;"&amp;TODAY())</f>
        <v/>
      </c>
      <c r="U7">
        <f>IF(T7=0,"OutOfStock",IF(T7&lt;O7,"Reorder",IF(T7&lt;P7,"Low","OK")))</f>
        <v/>
      </c>
    </row>
    <row r="8">
      <c r="A8" s="19" t="inlineStr">
        <is>
          <t>P000004</t>
        </is>
      </c>
      <c r="B8" s="19" t="inlineStr">
        <is>
          <t>Methanol 99.8% (1 L)</t>
        </is>
      </c>
      <c r="C8" s="19" t="inlineStr">
        <is>
          <t>Chemical</t>
        </is>
      </c>
      <c r="D8" s="19" t="inlineStr">
        <is>
          <t>Solvent</t>
        </is>
      </c>
      <c r="E8" s="19" t="inlineStr">
        <is>
          <t>ChemCore Ltd.</t>
        </is>
      </c>
      <c r="F8" s="19" t="inlineStr">
        <is>
          <t>CC-ME-1000</t>
        </is>
      </c>
      <c r="G8" s="19" t="inlineStr">
        <is>
          <t>67-56-1</t>
        </is>
      </c>
      <c r="H8" s="19" t="inlineStr">
        <is>
          <t>99.8%</t>
        </is>
      </c>
      <c r="I8" s="19" t="inlineStr">
        <is>
          <t>HPLC</t>
        </is>
      </c>
      <c r="J8" s="19" t="inlineStr">
        <is>
          <t>Bottle of 1 L</t>
        </is>
      </c>
      <c r="K8" s="19" t="inlineStr">
        <is>
          <t>S000002</t>
        </is>
      </c>
      <c r="L8" s="19" t="inlineStr">
        <is>
          <t>Flammables cabinet</t>
        </is>
      </c>
      <c r="M8" s="19" t="inlineStr">
        <is>
          <t>Flammable</t>
        </is>
      </c>
      <c r="N8" s="19" t="inlineStr">
        <is>
          <t>SDS-MEOH</t>
        </is>
      </c>
      <c r="O8" s="19" t="n">
        <v>1</v>
      </c>
      <c r="P8" s="19" t="n">
        <v>3</v>
      </c>
      <c r="Q8" s="19" t="n">
        <v>2</v>
      </c>
      <c r="R8" s="19" t="b">
        <v>1</v>
      </c>
      <c r="S8" s="19" t="inlineStr">
        <is>
          <t>Worked example 4</t>
        </is>
      </c>
      <c r="T8">
        <f>COUNTIFS(tblContainers[ProductID],A8,tblContainers[Status],"Available")-COUNTIFS(tblContainers[ProductID],A8,tblContainers[Status],"Available",tblContainers[ExpiryDate],"&lt;"&amp;TODAY())</f>
        <v/>
      </c>
      <c r="U8">
        <f>IF(T8=0,"OutOfStock",IF(T8&lt;O8,"Reorder",IF(T8&lt;P8,"Low","OK")))</f>
        <v/>
      </c>
    </row>
    <row r="9">
      <c r="A9" s="19" t="inlineStr">
        <is>
          <t>P000005</t>
        </is>
      </c>
      <c r="B9" s="19" t="inlineStr">
        <is>
          <t>Reagent A (Tris buffer, 500 mL)</t>
        </is>
      </c>
      <c r="C9" s="19" t="inlineStr">
        <is>
          <t>Reagent</t>
        </is>
      </c>
      <c r="D9" s="19" t="inlineStr">
        <is>
          <t>Reagent</t>
        </is>
      </c>
      <c r="E9" s="19" t="inlineStr">
        <is>
          <t>LabSupply Co.</t>
        </is>
      </c>
      <c r="F9" s="19" t="inlineStr">
        <is>
          <t>LS-TRIS-500</t>
        </is>
      </c>
      <c r="G9" s="19" t="inlineStr">
        <is>
          <t>77-86-1</t>
        </is>
      </c>
      <c r="H9" s="19" t="inlineStr">
        <is>
          <t>1 M</t>
        </is>
      </c>
      <c r="I9" s="19" t="inlineStr">
        <is>
          <t>Molecular biology</t>
        </is>
      </c>
      <c r="J9" s="19" t="inlineStr">
        <is>
          <t>Bottle of 500 mL</t>
        </is>
      </c>
      <c r="K9" s="19" t="inlineStr">
        <is>
          <t>S000001</t>
        </is>
      </c>
      <c r="L9" s="19" t="inlineStr">
        <is>
          <t>Fridge 1</t>
        </is>
      </c>
      <c r="M9" s="19" t="inlineStr">
        <is>
          <t>Irritant</t>
        </is>
      </c>
      <c r="N9" s="19" t="inlineStr">
        <is>
          <t>SDS-TRIS</t>
        </is>
      </c>
      <c r="O9" s="19" t="n">
        <v>1</v>
      </c>
      <c r="P9" s="19" t="n">
        <v>4</v>
      </c>
      <c r="Q9" s="19" t="n">
        <v>2</v>
      </c>
      <c r="R9" s="19" t="b">
        <v>1</v>
      </c>
      <c r="S9" s="19" t="inlineStr">
        <is>
          <t>Worked example 5; expiring reagent</t>
        </is>
      </c>
      <c r="T9">
        <f>COUNTIFS(tblContainers[ProductID],A9,tblContainers[Status],"Available")-COUNTIFS(tblContainers[ProductID],A9,tblContainers[Status],"Available",tblContainers[ExpiryDate],"&lt;"&amp;TODAY())</f>
        <v/>
      </c>
      <c r="U9">
        <f>IF(T9=0,"OutOfStock",IF(T9&lt;O9,"Reorder",IF(T9&lt;P9,"Low","OK")))</f>
        <v/>
      </c>
    </row>
    <row r="10">
      <c r="A10" s="19" t="inlineStr">
        <is>
          <t>P000006</t>
        </is>
      </c>
      <c r="B10" s="19" t="inlineStr">
        <is>
          <t>Nitrile Gloves M (100/box)</t>
        </is>
      </c>
      <c r="C10" s="19" t="inlineStr">
        <is>
          <t>Consumable</t>
        </is>
      </c>
      <c r="D10" s="19" t="inlineStr">
        <is>
          <t>Consumable</t>
        </is>
      </c>
      <c r="E10" s="19" t="inlineStr">
        <is>
          <t>LabSupply Co.</t>
        </is>
      </c>
      <c r="F10" s="19" t="inlineStr">
        <is>
          <t>LS-NG-M100</t>
        </is>
      </c>
      <c r="G10" s="19" t="n"/>
      <c r="H10" s="19" t="n"/>
      <c r="I10" s="19" t="n"/>
      <c r="J10" s="19" t="inlineStr">
        <is>
          <t>Box of 100 gloves</t>
        </is>
      </c>
      <c r="K10" s="19" t="inlineStr">
        <is>
          <t>S000001</t>
        </is>
      </c>
      <c r="L10" s="19" t="inlineStr">
        <is>
          <t>Ambient</t>
        </is>
      </c>
      <c r="M10" s="19" t="n"/>
      <c r="N10" s="19" t="n"/>
      <c r="O10" s="19" t="n">
        <v>4</v>
      </c>
      <c r="P10" s="19" t="n">
        <v>10</v>
      </c>
      <c r="Q10" s="19" t="n">
        <v>6</v>
      </c>
      <c r="R10" s="19" t="b">
        <v>1</v>
      </c>
      <c r="S10" s="19" t="inlineStr">
        <is>
          <t>Consumable family</t>
        </is>
      </c>
      <c r="T10">
        <f>COUNTIFS(tblContainers[ProductID],A10,tblContainers[Status],"Available")-COUNTIFS(tblContainers[ProductID],A10,tblContainers[Status],"Available",tblContainers[ExpiryDate],"&lt;"&amp;TODAY())</f>
        <v/>
      </c>
      <c r="U10">
        <f>IF(T10=0,"OutOfStock",IF(T10&lt;O10,"Reorder",IF(T10&lt;P10,"Low","OK")))</f>
        <v/>
      </c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</row>
    <row r="7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</row>
    <row r="75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</row>
    <row r="77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</row>
    <row r="93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</row>
    <row r="95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</row>
    <row r="10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</row>
    <row r="102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</row>
    <row r="104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</row>
    <row r="105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</row>
    <row r="10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</row>
    <row r="107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</row>
    <row r="10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</row>
    <row r="10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</row>
    <row r="110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</row>
    <row r="11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</row>
    <row r="112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</row>
    <row r="113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</row>
    <row r="114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</row>
    <row r="115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</row>
    <row r="11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</row>
    <row r="997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</row>
    <row r="998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</row>
    <row r="99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</row>
    <row r="1000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</row>
    <row r="1001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19" t="n"/>
      <c r="P1001" s="19" t="n"/>
      <c r="Q1001" s="19" t="n"/>
      <c r="R1001" s="19" t="n"/>
      <c r="S1001" s="19" t="n"/>
    </row>
    <row r="1002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19" t="n"/>
      <c r="P1002" s="19" t="n"/>
      <c r="Q1002" s="19" t="n"/>
      <c r="R1002" s="19" t="n"/>
      <c r="S1002" s="19" t="n"/>
    </row>
    <row r="1003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19" t="n"/>
      <c r="P1003" s="19" t="n"/>
      <c r="Q1003" s="19" t="n"/>
      <c r="R1003" s="19" t="n"/>
      <c r="S1003" s="19" t="n"/>
    </row>
    <row r="1004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19" t="n"/>
      <c r="P1004" s="19" t="n"/>
      <c r="Q1004" s="19" t="n"/>
      <c r="R1004" s="19" t="n"/>
      <c r="S1004" s="19" t="n"/>
    </row>
    <row r="1005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19" t="n"/>
      <c r="P1005" s="19" t="n"/>
      <c r="Q1005" s="19" t="n"/>
      <c r="R1005" s="19" t="n"/>
      <c r="S1005" s="19" t="n"/>
    </row>
    <row r="1006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19" t="n"/>
      <c r="P1006" s="19" t="n"/>
      <c r="Q1006" s="19" t="n"/>
      <c r="R1006" s="19" t="n"/>
      <c r="S1006" s="19" t="n"/>
    </row>
    <row r="1007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19" t="n"/>
      <c r="P1007" s="19" t="n"/>
      <c r="Q1007" s="19" t="n"/>
      <c r="R1007" s="19" t="n"/>
      <c r="S1007" s="19" t="n"/>
    </row>
    <row r="1008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19" t="n"/>
      <c r="P1008" s="19" t="n"/>
      <c r="Q1008" s="19" t="n"/>
      <c r="R1008" s="19" t="n"/>
      <c r="S1008" s="19" t="n"/>
    </row>
    <row r="100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19" t="n"/>
      <c r="P1009" s="19" t="n"/>
      <c r="Q1009" s="19" t="n"/>
      <c r="R1009" s="19" t="n"/>
      <c r="S1009" s="19" t="n"/>
    </row>
    <row r="1010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19" t="n"/>
      <c r="P1010" s="19" t="n"/>
      <c r="Q1010" s="19" t="n"/>
      <c r="R1010" s="19" t="n"/>
      <c r="S1010" s="19" t="n"/>
    </row>
    <row r="1011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19" t="n"/>
      <c r="P1011" s="19" t="n"/>
      <c r="Q1011" s="19" t="n"/>
      <c r="R1011" s="19" t="n"/>
      <c r="S1011" s="19" t="n"/>
    </row>
    <row r="1012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19" t="n"/>
      <c r="P1012" s="19" t="n"/>
      <c r="Q1012" s="19" t="n"/>
      <c r="R1012" s="19" t="n"/>
      <c r="S1012" s="19" t="n"/>
    </row>
    <row r="1013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19" t="n"/>
      <c r="P1013" s="19" t="n"/>
      <c r="Q1013" s="19" t="n"/>
      <c r="R1013" s="19" t="n"/>
      <c r="S1013" s="19" t="n"/>
    </row>
    <row r="1014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19" t="n"/>
      <c r="P1014" s="19" t="n"/>
      <c r="Q1014" s="19" t="n"/>
      <c r="R1014" s="19" t="n"/>
      <c r="S1014" s="19" t="n"/>
    </row>
    <row r="1015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19" t="n"/>
      <c r="P1015" s="19" t="n"/>
      <c r="Q1015" s="19" t="n"/>
      <c r="R1015" s="19" t="n"/>
      <c r="S1015" s="19" t="n"/>
    </row>
    <row r="1016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19" t="n"/>
      <c r="P1016" s="19" t="n"/>
      <c r="Q1016" s="19" t="n"/>
      <c r="R1016" s="19" t="n"/>
      <c r="S1016" s="19" t="n"/>
    </row>
    <row r="1017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19" t="n"/>
      <c r="P1017" s="19" t="n"/>
      <c r="Q1017" s="19" t="n"/>
      <c r="R1017" s="19" t="n"/>
      <c r="S1017" s="19" t="n"/>
    </row>
    <row r="1018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19" t="n"/>
      <c r="P1018" s="19" t="n"/>
      <c r="Q1018" s="19" t="n"/>
      <c r="R1018" s="19" t="n"/>
      <c r="S1018" s="19" t="n"/>
    </row>
    <row r="101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19" t="n"/>
      <c r="P1019" s="19" t="n"/>
      <c r="Q1019" s="19" t="n"/>
      <c r="R1019" s="19" t="n"/>
      <c r="S1019" s="19" t="n"/>
    </row>
    <row r="1020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19" t="n"/>
      <c r="P1020" s="19" t="n"/>
      <c r="Q1020" s="19" t="n"/>
      <c r="R1020" s="19" t="n"/>
      <c r="S1020" s="19" t="n"/>
    </row>
    <row r="1021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19" t="n"/>
      <c r="P1021" s="19" t="n"/>
      <c r="Q1021" s="19" t="n"/>
      <c r="R1021" s="19" t="n"/>
      <c r="S1021" s="19" t="n"/>
    </row>
    <row r="1022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19" t="n"/>
      <c r="P1022" s="19" t="n"/>
      <c r="Q1022" s="19" t="n"/>
      <c r="R1022" s="19" t="n"/>
      <c r="S1022" s="19" t="n"/>
    </row>
    <row r="1023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19" t="n"/>
      <c r="P1023" s="19" t="n"/>
      <c r="Q1023" s="19" t="n"/>
      <c r="R1023" s="19" t="n"/>
      <c r="S1023" s="19" t="n"/>
    </row>
    <row r="1024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19" t="n"/>
      <c r="P1024" s="19" t="n"/>
      <c r="Q1024" s="19" t="n"/>
      <c r="R1024" s="19" t="n"/>
      <c r="S1024" s="19" t="n"/>
    </row>
    <row r="1025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19" t="n"/>
      <c r="P1025" s="19" t="n"/>
      <c r="Q1025" s="19" t="n"/>
      <c r="R1025" s="19" t="n"/>
      <c r="S1025" s="19" t="n"/>
    </row>
    <row r="1026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19" t="n"/>
      <c r="P1026" s="19" t="n"/>
      <c r="Q1026" s="19" t="n"/>
      <c r="R1026" s="19" t="n"/>
      <c r="S1026" s="19" t="n"/>
    </row>
    <row r="1027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19" t="n"/>
      <c r="P1027" s="19" t="n"/>
      <c r="Q1027" s="19" t="n"/>
      <c r="R1027" s="19" t="n"/>
      <c r="S1027" s="19" t="n"/>
    </row>
    <row r="1028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19" t="n"/>
      <c r="P1028" s="19" t="n"/>
      <c r="Q1028" s="19" t="n"/>
      <c r="R1028" s="19" t="n"/>
      <c r="S1028" s="19" t="n"/>
    </row>
    <row r="102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19" t="n"/>
      <c r="P1029" s="19" t="n"/>
      <c r="Q1029" s="19" t="n"/>
      <c r="R1029" s="19" t="n"/>
      <c r="S1029" s="19" t="n"/>
    </row>
    <row r="1030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19" t="n"/>
      <c r="P1030" s="19" t="n"/>
      <c r="Q1030" s="19" t="n"/>
      <c r="R1030" s="19" t="n"/>
      <c r="S1030" s="19" t="n"/>
    </row>
    <row r="1031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19" t="n"/>
      <c r="P1031" s="19" t="n"/>
      <c r="Q1031" s="19" t="n"/>
      <c r="R1031" s="19" t="n"/>
      <c r="S1031" s="19" t="n"/>
    </row>
    <row r="1032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19" t="n"/>
      <c r="P1032" s="19" t="n"/>
      <c r="Q1032" s="19" t="n"/>
      <c r="R1032" s="19" t="n"/>
      <c r="S1032" s="19" t="n"/>
    </row>
    <row r="1033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19" t="n"/>
      <c r="P1033" s="19" t="n"/>
      <c r="Q1033" s="19" t="n"/>
      <c r="R1033" s="19" t="n"/>
      <c r="S1033" s="19" t="n"/>
    </row>
    <row r="1034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19" t="n"/>
      <c r="P1034" s="19" t="n"/>
      <c r="Q1034" s="19" t="n"/>
      <c r="R1034" s="19" t="n"/>
      <c r="S1034" s="19" t="n"/>
    </row>
    <row r="1035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19" t="n"/>
      <c r="P1035" s="19" t="n"/>
      <c r="Q1035" s="19" t="n"/>
      <c r="R1035" s="19" t="n"/>
      <c r="S1035" s="19" t="n"/>
    </row>
    <row r="1036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19" t="n"/>
      <c r="P1036" s="19" t="n"/>
      <c r="Q1036" s="19" t="n"/>
      <c r="R1036" s="19" t="n"/>
      <c r="S1036" s="19" t="n"/>
    </row>
    <row r="1037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19" t="n"/>
      <c r="P1037" s="19" t="n"/>
      <c r="Q1037" s="19" t="n"/>
      <c r="R1037" s="19" t="n"/>
      <c r="S1037" s="19" t="n"/>
    </row>
    <row r="1038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19" t="n"/>
      <c r="P1038" s="19" t="n"/>
      <c r="Q1038" s="19" t="n"/>
      <c r="R1038" s="19" t="n"/>
      <c r="S1038" s="19" t="n"/>
    </row>
    <row r="10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19" t="n"/>
      <c r="P1039" s="19" t="n"/>
      <c r="Q1039" s="19" t="n"/>
      <c r="R1039" s="19" t="n"/>
      <c r="S1039" s="19" t="n"/>
    </row>
    <row r="1040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19" t="n"/>
      <c r="P1040" s="19" t="n"/>
      <c r="Q1040" s="19" t="n"/>
      <c r="R1040" s="19" t="n"/>
      <c r="S1040" s="19" t="n"/>
    </row>
    <row r="1041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19" t="n"/>
      <c r="P1041" s="19" t="n"/>
      <c r="Q1041" s="19" t="n"/>
      <c r="R1041" s="19" t="n"/>
      <c r="S1041" s="19" t="n"/>
    </row>
    <row r="1042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19" t="n"/>
      <c r="P1042" s="19" t="n"/>
      <c r="Q1042" s="19" t="n"/>
      <c r="R1042" s="19" t="n"/>
      <c r="S1042" s="19" t="n"/>
    </row>
    <row r="1043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19" t="n"/>
      <c r="P1043" s="19" t="n"/>
      <c r="Q1043" s="19" t="n"/>
      <c r="R1043" s="19" t="n"/>
      <c r="S1043" s="19" t="n"/>
    </row>
    <row r="1044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19" t="n"/>
      <c r="P1044" s="19" t="n"/>
      <c r="Q1044" s="19" t="n"/>
      <c r="R1044" s="19" t="n"/>
      <c r="S1044" s="19" t="n"/>
    </row>
    <row r="1045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19" t="n"/>
      <c r="P1045" s="19" t="n"/>
      <c r="Q1045" s="19" t="n"/>
      <c r="R1045" s="19" t="n"/>
      <c r="S1045" s="19" t="n"/>
    </row>
    <row r="1046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19" t="n"/>
      <c r="P1046" s="19" t="n"/>
      <c r="Q1046" s="19" t="n"/>
      <c r="R1046" s="19" t="n"/>
      <c r="S1046" s="19" t="n"/>
    </row>
    <row r="1047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19" t="n"/>
      <c r="P1047" s="19" t="n"/>
      <c r="Q1047" s="19" t="n"/>
      <c r="R1047" s="19" t="n"/>
      <c r="S1047" s="19" t="n"/>
    </row>
    <row r="1048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19" t="n"/>
      <c r="P1048" s="19" t="n"/>
      <c r="Q1048" s="19" t="n"/>
      <c r="R1048" s="19" t="n"/>
      <c r="S1048" s="19" t="n"/>
    </row>
    <row r="104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19" t="n"/>
      <c r="P1049" s="19" t="n"/>
      <c r="Q1049" s="19" t="n"/>
      <c r="R1049" s="19" t="n"/>
      <c r="S1049" s="19" t="n"/>
    </row>
    <row r="1050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19" t="n"/>
      <c r="P1050" s="19" t="n"/>
      <c r="Q1050" s="19" t="n"/>
      <c r="R1050" s="19" t="n"/>
      <c r="S1050" s="19" t="n"/>
    </row>
    <row r="1051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19" t="n"/>
      <c r="P1051" s="19" t="n"/>
      <c r="Q1051" s="19" t="n"/>
      <c r="R1051" s="19" t="n"/>
      <c r="S1051" s="19" t="n"/>
    </row>
    <row r="1052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19" t="n"/>
      <c r="P1052" s="19" t="n"/>
      <c r="Q1052" s="19" t="n"/>
      <c r="R1052" s="19" t="n"/>
      <c r="S1052" s="19" t="n"/>
    </row>
    <row r="1053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19" t="n"/>
      <c r="P1053" s="19" t="n"/>
      <c r="Q1053" s="19" t="n"/>
      <c r="R1053" s="19" t="n"/>
      <c r="S1053" s="19" t="n"/>
    </row>
    <row r="1054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19" t="n"/>
      <c r="P1054" s="19" t="n"/>
      <c r="Q1054" s="19" t="n"/>
      <c r="R1054" s="19" t="n"/>
      <c r="S1054" s="19" t="n"/>
    </row>
    <row r="1055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19" t="n"/>
      <c r="P1055" s="19" t="n"/>
      <c r="Q1055" s="19" t="n"/>
      <c r="R1055" s="19" t="n"/>
      <c r="S1055" s="19" t="n"/>
    </row>
    <row r="1056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19" t="n"/>
      <c r="P1056" s="19" t="n"/>
      <c r="Q1056" s="19" t="n"/>
      <c r="R1056" s="19" t="n"/>
      <c r="S1056" s="19" t="n"/>
    </row>
    <row r="1057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19" t="n"/>
      <c r="P1057" s="19" t="n"/>
      <c r="Q1057" s="19" t="n"/>
      <c r="R1057" s="19" t="n"/>
      <c r="S1057" s="19" t="n"/>
    </row>
    <row r="1058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19" t="n"/>
      <c r="P1058" s="19" t="n"/>
      <c r="Q1058" s="19" t="n"/>
      <c r="R1058" s="19" t="n"/>
      <c r="S1058" s="19" t="n"/>
    </row>
    <row r="105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19" t="n"/>
      <c r="P1059" s="19" t="n"/>
      <c r="Q1059" s="19" t="n"/>
      <c r="R1059" s="19" t="n"/>
      <c r="S1059" s="19" t="n"/>
    </row>
    <row r="1060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19" t="n"/>
      <c r="P1060" s="19" t="n"/>
      <c r="Q1060" s="19" t="n"/>
      <c r="R1060" s="19" t="n"/>
      <c r="S1060" s="19" t="n"/>
    </row>
    <row r="1061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19" t="n"/>
      <c r="P1061" s="19" t="n"/>
      <c r="Q1061" s="19" t="n"/>
      <c r="R1061" s="19" t="n"/>
      <c r="S1061" s="19" t="n"/>
    </row>
    <row r="1062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19" t="n"/>
      <c r="P1062" s="19" t="n"/>
      <c r="Q1062" s="19" t="n"/>
      <c r="R1062" s="19" t="n"/>
      <c r="S1062" s="19" t="n"/>
    </row>
    <row r="1063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19" t="n"/>
      <c r="P1063" s="19" t="n"/>
      <c r="Q1063" s="19" t="n"/>
      <c r="R1063" s="19" t="n"/>
      <c r="S1063" s="19" t="n"/>
    </row>
    <row r="1064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19" t="n"/>
      <c r="P1064" s="19" t="n"/>
      <c r="Q1064" s="19" t="n"/>
      <c r="R1064" s="19" t="n"/>
      <c r="S1064" s="19" t="n"/>
    </row>
    <row r="1065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19" t="n"/>
      <c r="P1065" s="19" t="n"/>
      <c r="Q1065" s="19" t="n"/>
      <c r="R1065" s="19" t="n"/>
      <c r="S1065" s="19" t="n"/>
    </row>
    <row r="1066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19" t="n"/>
      <c r="P1066" s="19" t="n"/>
      <c r="Q1066" s="19" t="n"/>
      <c r="R1066" s="19" t="n"/>
      <c r="S1066" s="19" t="n"/>
    </row>
    <row r="1067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19" t="n"/>
      <c r="P1067" s="19" t="n"/>
      <c r="Q1067" s="19" t="n"/>
      <c r="R1067" s="19" t="n"/>
      <c r="S1067" s="19" t="n"/>
    </row>
    <row r="1068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19" t="n"/>
      <c r="P1068" s="19" t="n"/>
      <c r="Q1068" s="19" t="n"/>
      <c r="R1068" s="19" t="n"/>
      <c r="S1068" s="19" t="n"/>
    </row>
    <row r="106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19" t="n"/>
      <c r="P1069" s="19" t="n"/>
      <c r="Q1069" s="19" t="n"/>
      <c r="R1069" s="19" t="n"/>
      <c r="S1069" s="19" t="n"/>
    </row>
    <row r="1070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19" t="n"/>
      <c r="P1070" s="19" t="n"/>
      <c r="Q1070" s="19" t="n"/>
      <c r="R1070" s="19" t="n"/>
      <c r="S1070" s="19" t="n"/>
    </row>
    <row r="1071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19" t="n"/>
      <c r="P1071" s="19" t="n"/>
      <c r="Q1071" s="19" t="n"/>
      <c r="R1071" s="19" t="n"/>
      <c r="S1071" s="19" t="n"/>
    </row>
    <row r="1072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19" t="n"/>
      <c r="P1072" s="19" t="n"/>
      <c r="Q1072" s="19" t="n"/>
      <c r="R1072" s="19" t="n"/>
      <c r="S1072" s="19" t="n"/>
    </row>
    <row r="1073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19" t="n"/>
      <c r="P1073" s="19" t="n"/>
      <c r="Q1073" s="19" t="n"/>
      <c r="R1073" s="19" t="n"/>
      <c r="S1073" s="19" t="n"/>
    </row>
    <row r="1074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19" t="n"/>
      <c r="P1074" s="19" t="n"/>
      <c r="Q1074" s="19" t="n"/>
      <c r="R1074" s="19" t="n"/>
      <c r="S1074" s="19" t="n"/>
    </row>
    <row r="1075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19" t="n"/>
      <c r="P1075" s="19" t="n"/>
      <c r="Q1075" s="19" t="n"/>
      <c r="R1075" s="19" t="n"/>
      <c r="S1075" s="19" t="n"/>
    </row>
    <row r="1076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19" t="n"/>
      <c r="P1076" s="19" t="n"/>
      <c r="Q1076" s="19" t="n"/>
      <c r="R1076" s="19" t="n"/>
      <c r="S1076" s="19" t="n"/>
    </row>
    <row r="1077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19" t="n"/>
      <c r="P1077" s="19" t="n"/>
      <c r="Q1077" s="19" t="n"/>
      <c r="R1077" s="19" t="n"/>
      <c r="S1077" s="19" t="n"/>
    </row>
    <row r="1078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19" t="n"/>
      <c r="P1078" s="19" t="n"/>
      <c r="Q1078" s="19" t="n"/>
      <c r="R1078" s="19" t="n"/>
      <c r="S1078" s="19" t="n"/>
    </row>
    <row r="107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19" t="n"/>
      <c r="P1079" s="19" t="n"/>
      <c r="Q1079" s="19" t="n"/>
      <c r="R1079" s="19" t="n"/>
      <c r="S1079" s="19" t="n"/>
    </row>
    <row r="1080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19" t="n"/>
      <c r="P1080" s="19" t="n"/>
      <c r="Q1080" s="19" t="n"/>
      <c r="R1080" s="19" t="n"/>
      <c r="S1080" s="19" t="n"/>
    </row>
    <row r="1081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19" t="n"/>
      <c r="P1081" s="19" t="n"/>
      <c r="Q1081" s="19" t="n"/>
      <c r="R1081" s="19" t="n"/>
      <c r="S1081" s="19" t="n"/>
    </row>
    <row r="1082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19" t="n"/>
      <c r="P1082" s="19" t="n"/>
      <c r="Q1082" s="19" t="n"/>
      <c r="R1082" s="19" t="n"/>
      <c r="S1082" s="19" t="n"/>
    </row>
    <row r="1083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19" t="n"/>
      <c r="P1083" s="19" t="n"/>
      <c r="Q1083" s="19" t="n"/>
      <c r="R1083" s="19" t="n"/>
      <c r="S1083" s="19" t="n"/>
    </row>
    <row r="1084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19" t="n"/>
      <c r="P1084" s="19" t="n"/>
      <c r="Q1084" s="19" t="n"/>
      <c r="R1084" s="19" t="n"/>
      <c r="S1084" s="19" t="n"/>
    </row>
    <row r="1085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19" t="n"/>
      <c r="P1085" s="19" t="n"/>
      <c r="Q1085" s="19" t="n"/>
      <c r="R1085" s="19" t="n"/>
      <c r="S1085" s="19" t="n"/>
    </row>
    <row r="1086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19" t="n"/>
      <c r="P1086" s="19" t="n"/>
      <c r="Q1086" s="19" t="n"/>
      <c r="R1086" s="19" t="n"/>
      <c r="S1086" s="19" t="n"/>
    </row>
    <row r="1087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19" t="n"/>
      <c r="P1087" s="19" t="n"/>
      <c r="Q1087" s="19" t="n"/>
      <c r="R1087" s="19" t="n"/>
      <c r="S1087" s="19" t="n"/>
    </row>
    <row r="1088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19" t="n"/>
      <c r="P1088" s="19" t="n"/>
      <c r="Q1088" s="19" t="n"/>
      <c r="R1088" s="19" t="n"/>
      <c r="S1088" s="19" t="n"/>
    </row>
    <row r="108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19" t="n"/>
      <c r="P1089" s="19" t="n"/>
      <c r="Q1089" s="19" t="n"/>
      <c r="R1089" s="19" t="n"/>
      <c r="S1089" s="19" t="n"/>
    </row>
    <row r="1090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19" t="n"/>
      <c r="P1090" s="19" t="n"/>
      <c r="Q1090" s="19" t="n"/>
      <c r="R1090" s="19" t="n"/>
      <c r="S1090" s="19" t="n"/>
    </row>
    <row r="1091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19" t="n"/>
      <c r="P1091" s="19" t="n"/>
      <c r="Q1091" s="19" t="n"/>
      <c r="R1091" s="19" t="n"/>
      <c r="S1091" s="19" t="n"/>
    </row>
    <row r="1092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19" t="n"/>
      <c r="P1092" s="19" t="n"/>
      <c r="Q1092" s="19" t="n"/>
      <c r="R1092" s="19" t="n"/>
      <c r="S1092" s="19" t="n"/>
    </row>
    <row r="1093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19" t="n"/>
      <c r="P1093" s="19" t="n"/>
      <c r="Q1093" s="19" t="n"/>
      <c r="R1093" s="19" t="n"/>
      <c r="S1093" s="19" t="n"/>
    </row>
    <row r="1094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19" t="n"/>
      <c r="P1094" s="19" t="n"/>
      <c r="Q1094" s="19" t="n"/>
      <c r="R1094" s="19" t="n"/>
      <c r="S1094" s="19" t="n"/>
    </row>
    <row r="1095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19" t="n"/>
      <c r="P1095" s="19" t="n"/>
      <c r="Q1095" s="19" t="n"/>
      <c r="R1095" s="19" t="n"/>
      <c r="S1095" s="19" t="n"/>
    </row>
    <row r="1096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19" t="n"/>
      <c r="P1096" s="19" t="n"/>
      <c r="Q1096" s="19" t="n"/>
      <c r="R1096" s="19" t="n"/>
      <c r="S1096" s="19" t="n"/>
    </row>
    <row r="1097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19" t="n"/>
      <c r="P1097" s="19" t="n"/>
      <c r="Q1097" s="19" t="n"/>
      <c r="R1097" s="19" t="n"/>
      <c r="S1097" s="19" t="n"/>
    </row>
    <row r="1098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19" t="n"/>
      <c r="P1098" s="19" t="n"/>
      <c r="Q1098" s="19" t="n"/>
      <c r="R1098" s="19" t="n"/>
      <c r="S1098" s="19" t="n"/>
    </row>
    <row r="109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19" t="n"/>
      <c r="P1099" s="19" t="n"/>
      <c r="Q1099" s="19" t="n"/>
      <c r="R1099" s="19" t="n"/>
      <c r="S1099" s="19" t="n"/>
    </row>
    <row r="1100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19" t="n"/>
      <c r="P1100" s="19" t="n"/>
      <c r="Q1100" s="19" t="n"/>
      <c r="R1100" s="19" t="n"/>
      <c r="S1100" s="19" t="n"/>
    </row>
    <row r="1101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19" t="n"/>
      <c r="P1101" s="19" t="n"/>
      <c r="Q1101" s="19" t="n"/>
      <c r="R1101" s="19" t="n"/>
      <c r="S1101" s="19" t="n"/>
    </row>
    <row r="1102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19" t="n"/>
      <c r="P1102" s="19" t="n"/>
      <c r="Q1102" s="19" t="n"/>
      <c r="R1102" s="19" t="n"/>
      <c r="S1102" s="19" t="n"/>
    </row>
    <row r="1103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19" t="n"/>
      <c r="P1103" s="19" t="n"/>
      <c r="Q1103" s="19" t="n"/>
      <c r="R1103" s="19" t="n"/>
      <c r="S1103" s="19" t="n"/>
    </row>
    <row r="1104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19" t="n"/>
      <c r="P1104" s="19" t="n"/>
      <c r="Q1104" s="19" t="n"/>
      <c r="R1104" s="19" t="n"/>
      <c r="S1104" s="19" t="n"/>
    </row>
    <row r="1105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19" t="n"/>
      <c r="P1105" s="19" t="n"/>
      <c r="Q1105" s="19" t="n"/>
      <c r="R1105" s="19" t="n"/>
      <c r="S1105" s="19" t="n"/>
    </row>
    <row r="1106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19" t="n"/>
      <c r="P1106" s="19" t="n"/>
      <c r="Q1106" s="19" t="n"/>
      <c r="R1106" s="19" t="n"/>
      <c r="S1106" s="19" t="n"/>
    </row>
    <row r="1107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19" t="n"/>
      <c r="P1107" s="19" t="n"/>
      <c r="Q1107" s="19" t="n"/>
      <c r="R1107" s="19" t="n"/>
      <c r="S1107" s="19" t="n"/>
    </row>
    <row r="1108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19" t="n"/>
      <c r="P1108" s="19" t="n"/>
      <c r="Q1108" s="19" t="n"/>
      <c r="R1108" s="19" t="n"/>
      <c r="S1108" s="19" t="n"/>
    </row>
    <row r="110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19" t="n"/>
      <c r="P1109" s="19" t="n"/>
      <c r="Q1109" s="19" t="n"/>
      <c r="R1109" s="19" t="n"/>
      <c r="S1109" s="19" t="n"/>
    </row>
    <row r="1110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19" t="n"/>
      <c r="P1110" s="19" t="n"/>
      <c r="Q1110" s="19" t="n"/>
      <c r="R1110" s="19" t="n"/>
      <c r="S1110" s="19" t="n"/>
    </row>
    <row r="1111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19" t="n"/>
      <c r="P1111" s="19" t="n"/>
      <c r="Q1111" s="19" t="n"/>
      <c r="R1111" s="19" t="n"/>
      <c r="S1111" s="19" t="n"/>
    </row>
    <row r="1112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19" t="n"/>
      <c r="P1112" s="19" t="n"/>
      <c r="Q1112" s="19" t="n"/>
      <c r="R1112" s="19" t="n"/>
      <c r="S1112" s="19" t="n"/>
    </row>
    <row r="1113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19" t="n"/>
      <c r="P1113" s="19" t="n"/>
      <c r="Q1113" s="19" t="n"/>
      <c r="R1113" s="19" t="n"/>
      <c r="S1113" s="19" t="n"/>
    </row>
    <row r="1114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19" t="n"/>
      <c r="P1114" s="19" t="n"/>
      <c r="Q1114" s="19" t="n"/>
      <c r="R1114" s="19" t="n"/>
      <c r="S1114" s="19" t="n"/>
    </row>
    <row r="1115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19" t="n"/>
      <c r="P1115" s="19" t="n"/>
      <c r="Q1115" s="19" t="n"/>
      <c r="R1115" s="19" t="n"/>
      <c r="S1115" s="19" t="n"/>
    </row>
    <row r="1116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19" t="n"/>
      <c r="P1116" s="19" t="n"/>
      <c r="Q1116" s="19" t="n"/>
      <c r="R1116" s="19" t="n"/>
      <c r="S1116" s="19" t="n"/>
    </row>
    <row r="1117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19" t="n"/>
      <c r="P1117" s="19" t="n"/>
      <c r="Q1117" s="19" t="n"/>
      <c r="R1117" s="19" t="n"/>
      <c r="S1117" s="19" t="n"/>
    </row>
    <row r="1118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19" t="n"/>
      <c r="P1118" s="19" t="n"/>
      <c r="Q1118" s="19" t="n"/>
      <c r="R1118" s="19" t="n"/>
      <c r="S1118" s="19" t="n"/>
    </row>
    <row r="111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19" t="n"/>
      <c r="P1119" s="19" t="n"/>
      <c r="Q1119" s="19" t="n"/>
      <c r="R1119" s="19" t="n"/>
      <c r="S1119" s="19" t="n"/>
    </row>
    <row r="1120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19" t="n"/>
      <c r="P1120" s="19" t="n"/>
      <c r="Q1120" s="19" t="n"/>
      <c r="R1120" s="19" t="n"/>
      <c r="S1120" s="19" t="n"/>
    </row>
    <row r="1121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19" t="n"/>
      <c r="P1121" s="19" t="n"/>
      <c r="Q1121" s="19" t="n"/>
      <c r="R1121" s="19" t="n"/>
      <c r="S1121" s="19" t="n"/>
    </row>
    <row r="1122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19" t="n"/>
      <c r="P1122" s="19" t="n"/>
      <c r="Q1122" s="19" t="n"/>
      <c r="R1122" s="19" t="n"/>
      <c r="S1122" s="19" t="n"/>
    </row>
    <row r="1123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19" t="n"/>
      <c r="P1123" s="19" t="n"/>
      <c r="Q1123" s="19" t="n"/>
      <c r="R1123" s="19" t="n"/>
      <c r="S1123" s="19" t="n"/>
    </row>
    <row r="1124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19" t="n"/>
      <c r="P1124" s="19" t="n"/>
      <c r="Q1124" s="19" t="n"/>
      <c r="R1124" s="19" t="n"/>
      <c r="S1124" s="19" t="n"/>
    </row>
    <row r="1125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19" t="n"/>
      <c r="P1125" s="19" t="n"/>
      <c r="Q1125" s="19" t="n"/>
      <c r="R1125" s="19" t="n"/>
      <c r="S1125" s="19" t="n"/>
    </row>
    <row r="1126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19" t="n"/>
      <c r="P1126" s="19" t="n"/>
      <c r="Q1126" s="19" t="n"/>
      <c r="R1126" s="19" t="n"/>
      <c r="S1126" s="19" t="n"/>
    </row>
    <row r="1127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19" t="n"/>
      <c r="P1127" s="19" t="n"/>
      <c r="Q1127" s="19" t="n"/>
      <c r="R1127" s="19" t="n"/>
      <c r="S1127" s="19" t="n"/>
    </row>
    <row r="1128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19" t="n"/>
      <c r="P1128" s="19" t="n"/>
      <c r="Q1128" s="19" t="n"/>
      <c r="R1128" s="19" t="n"/>
      <c r="S1128" s="19" t="n"/>
    </row>
    <row r="112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19" t="n"/>
      <c r="P1129" s="19" t="n"/>
      <c r="Q1129" s="19" t="n"/>
      <c r="R1129" s="19" t="n"/>
      <c r="S1129" s="19" t="n"/>
    </row>
    <row r="1130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19" t="n"/>
      <c r="P1130" s="19" t="n"/>
      <c r="Q1130" s="19" t="n"/>
      <c r="R1130" s="19" t="n"/>
      <c r="S1130" s="19" t="n"/>
    </row>
    <row r="1131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19" t="n"/>
      <c r="P1131" s="19" t="n"/>
      <c r="Q1131" s="19" t="n"/>
      <c r="R1131" s="19" t="n"/>
      <c r="S1131" s="19" t="n"/>
    </row>
    <row r="1132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19" t="n"/>
      <c r="P1132" s="19" t="n"/>
      <c r="Q1132" s="19" t="n"/>
      <c r="R1132" s="19" t="n"/>
      <c r="S1132" s="19" t="n"/>
    </row>
    <row r="1133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19" t="n"/>
      <c r="P1133" s="19" t="n"/>
      <c r="Q1133" s="19" t="n"/>
      <c r="R1133" s="19" t="n"/>
      <c r="S1133" s="19" t="n"/>
    </row>
    <row r="1134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19" t="n"/>
      <c r="P1134" s="19" t="n"/>
      <c r="Q1134" s="19" t="n"/>
      <c r="R1134" s="19" t="n"/>
      <c r="S1134" s="19" t="n"/>
    </row>
    <row r="1135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19" t="n"/>
      <c r="P1135" s="19" t="n"/>
      <c r="Q1135" s="19" t="n"/>
      <c r="R1135" s="19" t="n"/>
      <c r="S1135" s="19" t="n"/>
    </row>
    <row r="1136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19" t="n"/>
      <c r="P1136" s="19" t="n"/>
      <c r="Q1136" s="19" t="n"/>
      <c r="R1136" s="19" t="n"/>
      <c r="S1136" s="19" t="n"/>
    </row>
    <row r="1137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19" t="n"/>
      <c r="P1137" s="19" t="n"/>
      <c r="Q1137" s="19" t="n"/>
      <c r="R1137" s="19" t="n"/>
      <c r="S1137" s="19" t="n"/>
    </row>
    <row r="1138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19" t="n"/>
      <c r="P1138" s="19" t="n"/>
      <c r="Q1138" s="19" t="n"/>
      <c r="R1138" s="19" t="n"/>
      <c r="S1138" s="19" t="n"/>
    </row>
    <row r="11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19" t="n"/>
      <c r="P1139" s="19" t="n"/>
      <c r="Q1139" s="19" t="n"/>
      <c r="R1139" s="19" t="n"/>
      <c r="S1139" s="19" t="n"/>
    </row>
    <row r="1140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19" t="n"/>
      <c r="P1140" s="19" t="n"/>
      <c r="Q1140" s="19" t="n"/>
      <c r="R1140" s="19" t="n"/>
      <c r="S1140" s="19" t="n"/>
    </row>
    <row r="1141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19" t="n"/>
      <c r="P1141" s="19" t="n"/>
      <c r="Q1141" s="19" t="n"/>
      <c r="R1141" s="19" t="n"/>
      <c r="S1141" s="19" t="n"/>
    </row>
    <row r="1142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19" t="n"/>
      <c r="P1142" s="19" t="n"/>
      <c r="Q1142" s="19" t="n"/>
      <c r="R1142" s="19" t="n"/>
      <c r="S1142" s="19" t="n"/>
    </row>
    <row r="1143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19" t="n"/>
      <c r="P1143" s="19" t="n"/>
      <c r="Q1143" s="19" t="n"/>
      <c r="R1143" s="19" t="n"/>
      <c r="S1143" s="19" t="n"/>
    </row>
    <row r="1144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19" t="n"/>
      <c r="P1144" s="19" t="n"/>
      <c r="Q1144" s="19" t="n"/>
      <c r="R1144" s="19" t="n"/>
      <c r="S1144" s="19" t="n"/>
    </row>
    <row r="1145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19" t="n"/>
      <c r="P1145" s="19" t="n"/>
      <c r="Q1145" s="19" t="n"/>
      <c r="R1145" s="19" t="n"/>
      <c r="S1145" s="19" t="n"/>
    </row>
    <row r="1146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19" t="n"/>
      <c r="P1146" s="19" t="n"/>
      <c r="Q1146" s="19" t="n"/>
      <c r="R1146" s="19" t="n"/>
      <c r="S1146" s="19" t="n"/>
    </row>
    <row r="1147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19" t="n"/>
      <c r="P1147" s="19" t="n"/>
      <c r="Q1147" s="19" t="n"/>
      <c r="R1147" s="19" t="n"/>
      <c r="S1147" s="19" t="n"/>
    </row>
    <row r="1148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19" t="n"/>
      <c r="P1148" s="19" t="n"/>
      <c r="Q1148" s="19" t="n"/>
      <c r="R1148" s="19" t="n"/>
      <c r="S1148" s="19" t="n"/>
    </row>
    <row r="114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19" t="n"/>
      <c r="P1149" s="19" t="n"/>
      <c r="Q1149" s="19" t="n"/>
      <c r="R1149" s="19" t="n"/>
      <c r="S1149" s="19" t="n"/>
    </row>
    <row r="1150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19" t="n"/>
      <c r="P1150" s="19" t="n"/>
      <c r="Q1150" s="19" t="n"/>
      <c r="R1150" s="19" t="n"/>
      <c r="S1150" s="19" t="n"/>
    </row>
    <row r="1151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19" t="n"/>
      <c r="P1151" s="19" t="n"/>
      <c r="Q1151" s="19" t="n"/>
      <c r="R1151" s="19" t="n"/>
      <c r="S1151" s="19" t="n"/>
    </row>
    <row r="1152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19" t="n"/>
      <c r="P1152" s="19" t="n"/>
      <c r="Q1152" s="19" t="n"/>
      <c r="R1152" s="19" t="n"/>
      <c r="S1152" s="19" t="n"/>
    </row>
    <row r="1153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19" t="n"/>
      <c r="P1153" s="19" t="n"/>
      <c r="Q1153" s="19" t="n"/>
      <c r="R1153" s="19" t="n"/>
      <c r="S1153" s="19" t="n"/>
    </row>
    <row r="1154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19" t="n"/>
      <c r="P1154" s="19" t="n"/>
      <c r="Q1154" s="19" t="n"/>
      <c r="R1154" s="19" t="n"/>
      <c r="S1154" s="19" t="n"/>
    </row>
    <row r="1155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19" t="n"/>
      <c r="P1155" s="19" t="n"/>
      <c r="Q1155" s="19" t="n"/>
      <c r="R1155" s="19" t="n"/>
      <c r="S1155" s="19" t="n"/>
    </row>
    <row r="1156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19" t="n"/>
      <c r="P1156" s="19" t="n"/>
      <c r="Q1156" s="19" t="n"/>
      <c r="R1156" s="19" t="n"/>
      <c r="S1156" s="19" t="n"/>
    </row>
    <row r="1157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19" t="n"/>
      <c r="P1157" s="19" t="n"/>
      <c r="Q1157" s="19" t="n"/>
      <c r="R1157" s="19" t="n"/>
      <c r="S1157" s="19" t="n"/>
    </row>
    <row r="1158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19" t="n"/>
      <c r="P1158" s="19" t="n"/>
      <c r="Q1158" s="19" t="n"/>
      <c r="R1158" s="19" t="n"/>
      <c r="S1158" s="19" t="n"/>
    </row>
    <row r="115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19" t="n"/>
      <c r="P1159" s="19" t="n"/>
      <c r="Q1159" s="19" t="n"/>
      <c r="R1159" s="19" t="n"/>
      <c r="S1159" s="19" t="n"/>
    </row>
    <row r="1160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19" t="n"/>
      <c r="P1160" s="19" t="n"/>
      <c r="Q1160" s="19" t="n"/>
      <c r="R1160" s="19" t="n"/>
      <c r="S1160" s="19" t="n"/>
    </row>
    <row r="1161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19" t="n"/>
      <c r="P1161" s="19" t="n"/>
      <c r="Q1161" s="19" t="n"/>
      <c r="R1161" s="19" t="n"/>
      <c r="S1161" s="19" t="n"/>
    </row>
    <row r="1162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19" t="n"/>
      <c r="P1162" s="19" t="n"/>
      <c r="Q1162" s="19" t="n"/>
      <c r="R1162" s="19" t="n"/>
      <c r="S1162" s="19" t="n"/>
    </row>
    <row r="1163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19" t="n"/>
      <c r="P1163" s="19" t="n"/>
      <c r="Q1163" s="19" t="n"/>
      <c r="R1163" s="19" t="n"/>
      <c r="S1163" s="19" t="n"/>
    </row>
    <row r="1164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19" t="n"/>
      <c r="P1164" s="19" t="n"/>
      <c r="Q1164" s="19" t="n"/>
      <c r="R1164" s="19" t="n"/>
      <c r="S1164" s="19" t="n"/>
    </row>
    <row r="1165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19" t="n"/>
      <c r="P1165" s="19" t="n"/>
      <c r="Q1165" s="19" t="n"/>
      <c r="R1165" s="19" t="n"/>
      <c r="S1165" s="19" t="n"/>
    </row>
    <row r="1166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19" t="n"/>
      <c r="P1166" s="19" t="n"/>
      <c r="Q1166" s="19" t="n"/>
      <c r="R1166" s="19" t="n"/>
      <c r="S1166" s="19" t="n"/>
    </row>
    <row r="1167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19" t="n"/>
      <c r="P1167" s="19" t="n"/>
      <c r="Q1167" s="19" t="n"/>
      <c r="R1167" s="19" t="n"/>
      <c r="S1167" s="19" t="n"/>
    </row>
    <row r="1168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19" t="n"/>
      <c r="P1168" s="19" t="n"/>
      <c r="Q1168" s="19" t="n"/>
      <c r="R1168" s="19" t="n"/>
      <c r="S1168" s="19" t="n"/>
    </row>
    <row r="116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19" t="n"/>
      <c r="P1169" s="19" t="n"/>
      <c r="Q1169" s="19" t="n"/>
      <c r="R1169" s="19" t="n"/>
      <c r="S1169" s="19" t="n"/>
    </row>
    <row r="1170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19" t="n"/>
      <c r="P1170" s="19" t="n"/>
      <c r="Q1170" s="19" t="n"/>
      <c r="R1170" s="19" t="n"/>
      <c r="S1170" s="19" t="n"/>
    </row>
    <row r="1171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19" t="n"/>
      <c r="P1171" s="19" t="n"/>
      <c r="Q1171" s="19" t="n"/>
      <c r="R1171" s="19" t="n"/>
      <c r="S1171" s="19" t="n"/>
    </row>
    <row r="1172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19" t="n"/>
      <c r="P1172" s="19" t="n"/>
      <c r="Q1172" s="19" t="n"/>
      <c r="R1172" s="19" t="n"/>
      <c r="S1172" s="19" t="n"/>
    </row>
    <row r="1173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19" t="n"/>
      <c r="P1173" s="19" t="n"/>
      <c r="Q1173" s="19" t="n"/>
      <c r="R1173" s="19" t="n"/>
      <c r="S1173" s="19" t="n"/>
    </row>
    <row r="1174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19" t="n"/>
      <c r="P1174" s="19" t="n"/>
      <c r="Q1174" s="19" t="n"/>
      <c r="R1174" s="19" t="n"/>
      <c r="S1174" s="19" t="n"/>
    </row>
    <row r="1175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19" t="n"/>
      <c r="P1175" s="19" t="n"/>
      <c r="Q1175" s="19" t="n"/>
      <c r="R1175" s="19" t="n"/>
      <c r="S1175" s="19" t="n"/>
    </row>
    <row r="1176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19" t="n"/>
      <c r="P1176" s="19" t="n"/>
      <c r="Q1176" s="19" t="n"/>
      <c r="R1176" s="19" t="n"/>
      <c r="S1176" s="19" t="n"/>
    </row>
    <row r="1177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19" t="n"/>
      <c r="P1177" s="19" t="n"/>
      <c r="Q1177" s="19" t="n"/>
      <c r="R1177" s="19" t="n"/>
      <c r="S1177" s="19" t="n"/>
    </row>
    <row r="1178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19" t="n"/>
      <c r="P1178" s="19" t="n"/>
      <c r="Q1178" s="19" t="n"/>
      <c r="R1178" s="19" t="n"/>
      <c r="S1178" s="19" t="n"/>
    </row>
    <row r="117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19" t="n"/>
      <c r="P1179" s="19" t="n"/>
      <c r="Q1179" s="19" t="n"/>
      <c r="R1179" s="19" t="n"/>
      <c r="S1179" s="19" t="n"/>
    </row>
    <row r="1180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19" t="n"/>
      <c r="P1180" s="19" t="n"/>
      <c r="Q1180" s="19" t="n"/>
      <c r="R1180" s="19" t="n"/>
      <c r="S1180" s="19" t="n"/>
    </row>
    <row r="1181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19" t="n"/>
      <c r="P1181" s="19" t="n"/>
      <c r="Q1181" s="19" t="n"/>
      <c r="R1181" s="19" t="n"/>
      <c r="S1181" s="19" t="n"/>
    </row>
    <row r="1182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19" t="n"/>
      <c r="P1182" s="19" t="n"/>
      <c r="Q1182" s="19" t="n"/>
      <c r="R1182" s="19" t="n"/>
      <c r="S1182" s="19" t="n"/>
    </row>
    <row r="1183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19" t="n"/>
      <c r="P1183" s="19" t="n"/>
      <c r="Q1183" s="19" t="n"/>
      <c r="R1183" s="19" t="n"/>
      <c r="S1183" s="19" t="n"/>
    </row>
    <row r="1184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19" t="n"/>
      <c r="P1184" s="19" t="n"/>
      <c r="Q1184" s="19" t="n"/>
      <c r="R1184" s="19" t="n"/>
      <c r="S1184" s="19" t="n"/>
    </row>
    <row r="1185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19" t="n"/>
      <c r="P1185" s="19" t="n"/>
      <c r="Q1185" s="19" t="n"/>
      <c r="R1185" s="19" t="n"/>
      <c r="S1185" s="19" t="n"/>
    </row>
    <row r="1186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19" t="n"/>
      <c r="P1186" s="19" t="n"/>
      <c r="Q1186" s="19" t="n"/>
      <c r="R1186" s="19" t="n"/>
      <c r="S1186" s="19" t="n"/>
    </row>
    <row r="1187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19" t="n"/>
      <c r="P1187" s="19" t="n"/>
      <c r="Q1187" s="19" t="n"/>
      <c r="R1187" s="19" t="n"/>
      <c r="S1187" s="19" t="n"/>
    </row>
    <row r="1188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19" t="n"/>
      <c r="P1188" s="19" t="n"/>
      <c r="Q1188" s="19" t="n"/>
      <c r="R1188" s="19" t="n"/>
      <c r="S1188" s="19" t="n"/>
    </row>
    <row r="118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19" t="n"/>
      <c r="P1189" s="19" t="n"/>
      <c r="Q1189" s="19" t="n"/>
      <c r="R1189" s="19" t="n"/>
      <c r="S1189" s="19" t="n"/>
    </row>
    <row r="1190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19" t="n"/>
      <c r="P1190" s="19" t="n"/>
      <c r="Q1190" s="19" t="n"/>
      <c r="R1190" s="19" t="n"/>
      <c r="S1190" s="19" t="n"/>
    </row>
    <row r="1191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19" t="n"/>
      <c r="P1191" s="19" t="n"/>
      <c r="Q1191" s="19" t="n"/>
      <c r="R1191" s="19" t="n"/>
      <c r="S1191" s="19" t="n"/>
    </row>
    <row r="1192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19" t="n"/>
      <c r="P1192" s="19" t="n"/>
      <c r="Q1192" s="19" t="n"/>
      <c r="R1192" s="19" t="n"/>
      <c r="S1192" s="19" t="n"/>
    </row>
    <row r="1193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19" t="n"/>
      <c r="P1193" s="19" t="n"/>
      <c r="Q1193" s="19" t="n"/>
      <c r="R1193" s="19" t="n"/>
      <c r="S1193" s="19" t="n"/>
    </row>
    <row r="1194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19" t="n"/>
      <c r="P1194" s="19" t="n"/>
      <c r="Q1194" s="19" t="n"/>
      <c r="R1194" s="19" t="n"/>
      <c r="S1194" s="19" t="n"/>
    </row>
    <row r="1195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19" t="n"/>
      <c r="P1195" s="19" t="n"/>
      <c r="Q1195" s="19" t="n"/>
      <c r="R1195" s="19" t="n"/>
      <c r="S1195" s="19" t="n"/>
    </row>
    <row r="1196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19" t="n"/>
      <c r="P1196" s="19" t="n"/>
      <c r="Q1196" s="19" t="n"/>
      <c r="R1196" s="19" t="n"/>
      <c r="S1196" s="19" t="n"/>
    </row>
    <row r="1197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19" t="n"/>
      <c r="P1197" s="19" t="n"/>
      <c r="Q1197" s="19" t="n"/>
      <c r="R1197" s="19" t="n"/>
      <c r="S1197" s="19" t="n"/>
    </row>
    <row r="1198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19" t="n"/>
      <c r="P1198" s="19" t="n"/>
      <c r="Q1198" s="19" t="n"/>
      <c r="R1198" s="19" t="n"/>
      <c r="S1198" s="19" t="n"/>
    </row>
    <row r="119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19" t="n"/>
      <c r="P1199" s="19" t="n"/>
      <c r="Q1199" s="19" t="n"/>
      <c r="R1199" s="19" t="n"/>
      <c r="S1199" s="19" t="n"/>
    </row>
    <row r="1200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19" t="n"/>
      <c r="P1200" s="19" t="n"/>
      <c r="Q1200" s="19" t="n"/>
      <c r="R1200" s="19" t="n"/>
      <c r="S1200" s="19" t="n"/>
    </row>
    <row r="1201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19" t="n"/>
      <c r="P1201" s="19" t="n"/>
      <c r="Q1201" s="19" t="n"/>
      <c r="R1201" s="19" t="n"/>
      <c r="S1201" s="19" t="n"/>
    </row>
    <row r="1202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19" t="n"/>
      <c r="P1202" s="19" t="n"/>
      <c r="Q1202" s="19" t="n"/>
      <c r="R1202" s="19" t="n"/>
      <c r="S1202" s="19" t="n"/>
    </row>
    <row r="1203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19" t="n"/>
      <c r="P1203" s="19" t="n"/>
      <c r="Q1203" s="19" t="n"/>
      <c r="R1203" s="19" t="n"/>
      <c r="S1203" s="19" t="n"/>
    </row>
    <row r="1204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19" t="n"/>
      <c r="P1204" s="19" t="n"/>
      <c r="Q1204" s="19" t="n"/>
      <c r="R1204" s="19" t="n"/>
      <c r="S1204" s="19" t="n"/>
    </row>
    <row r="1205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19" t="n"/>
      <c r="P1205" s="19" t="n"/>
      <c r="Q1205" s="19" t="n"/>
      <c r="R1205" s="19" t="n"/>
      <c r="S1205" s="19" t="n"/>
    </row>
    <row r="1206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19" t="n"/>
      <c r="P1206" s="19" t="n"/>
      <c r="Q1206" s="19" t="n"/>
      <c r="R1206" s="19" t="n"/>
      <c r="S1206" s="19" t="n"/>
    </row>
    <row r="1207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19" t="n"/>
      <c r="P1207" s="19" t="n"/>
      <c r="Q1207" s="19" t="n"/>
      <c r="R1207" s="19" t="n"/>
      <c r="S1207" s="19" t="n"/>
    </row>
    <row r="1208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19" t="n"/>
      <c r="P1208" s="19" t="n"/>
      <c r="Q1208" s="19" t="n"/>
      <c r="R1208" s="19" t="n"/>
      <c r="S1208" s="19" t="n"/>
    </row>
    <row r="120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19" t="n"/>
      <c r="P1209" s="19" t="n"/>
      <c r="Q1209" s="19" t="n"/>
      <c r="R1209" s="19" t="n"/>
      <c r="S1209" s="19" t="n"/>
    </row>
    <row r="1210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19" t="n"/>
      <c r="P1210" s="19" t="n"/>
      <c r="Q1210" s="19" t="n"/>
      <c r="R1210" s="19" t="n"/>
      <c r="S1210" s="19" t="n"/>
    </row>
    <row r="1211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19" t="n"/>
      <c r="P1211" s="19" t="n"/>
      <c r="Q1211" s="19" t="n"/>
      <c r="R1211" s="19" t="n"/>
      <c r="S1211" s="19" t="n"/>
    </row>
    <row r="1212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19" t="n"/>
      <c r="P1212" s="19" t="n"/>
      <c r="Q1212" s="19" t="n"/>
      <c r="R1212" s="19" t="n"/>
      <c r="S1212" s="19" t="n"/>
    </row>
    <row r="1213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19" t="n"/>
      <c r="P1213" s="19" t="n"/>
      <c r="Q1213" s="19" t="n"/>
      <c r="R1213" s="19" t="n"/>
      <c r="S1213" s="19" t="n"/>
    </row>
    <row r="1214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19" t="n"/>
      <c r="P1214" s="19" t="n"/>
      <c r="Q1214" s="19" t="n"/>
      <c r="R1214" s="19" t="n"/>
      <c r="S1214" s="19" t="n"/>
    </row>
    <row r="1215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19" t="n"/>
      <c r="P1215" s="19" t="n"/>
      <c r="Q1215" s="19" t="n"/>
      <c r="R1215" s="19" t="n"/>
      <c r="S1215" s="19" t="n"/>
    </row>
    <row r="1216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19" t="n"/>
      <c r="P1216" s="19" t="n"/>
      <c r="Q1216" s="19" t="n"/>
      <c r="R1216" s="19" t="n"/>
      <c r="S1216" s="19" t="n"/>
    </row>
    <row r="1217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19" t="n"/>
      <c r="P1217" s="19" t="n"/>
      <c r="Q1217" s="19" t="n"/>
      <c r="R1217" s="19" t="n"/>
      <c r="S1217" s="19" t="n"/>
    </row>
    <row r="1218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19" t="n"/>
      <c r="P1218" s="19" t="n"/>
      <c r="Q1218" s="19" t="n"/>
      <c r="R1218" s="19" t="n"/>
      <c r="S1218" s="19" t="n"/>
    </row>
    <row r="121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19" t="n"/>
      <c r="P1219" s="19" t="n"/>
      <c r="Q1219" s="19" t="n"/>
      <c r="R1219" s="19" t="n"/>
      <c r="S1219" s="19" t="n"/>
    </row>
    <row r="1220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19" t="n"/>
      <c r="P1220" s="19" t="n"/>
      <c r="Q1220" s="19" t="n"/>
      <c r="R1220" s="19" t="n"/>
      <c r="S1220" s="19" t="n"/>
    </row>
    <row r="1221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19" t="n"/>
      <c r="P1221" s="19" t="n"/>
      <c r="Q1221" s="19" t="n"/>
      <c r="R1221" s="19" t="n"/>
      <c r="S1221" s="19" t="n"/>
    </row>
    <row r="1222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19" t="n"/>
      <c r="P1222" s="19" t="n"/>
      <c r="Q1222" s="19" t="n"/>
      <c r="R1222" s="19" t="n"/>
      <c r="S1222" s="19" t="n"/>
    </row>
    <row r="1223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19" t="n"/>
      <c r="P1223" s="19" t="n"/>
      <c r="Q1223" s="19" t="n"/>
      <c r="R1223" s="19" t="n"/>
      <c r="S1223" s="19" t="n"/>
    </row>
    <row r="1224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19" t="n"/>
      <c r="P1224" s="19" t="n"/>
      <c r="Q1224" s="19" t="n"/>
      <c r="R1224" s="19" t="n"/>
      <c r="S1224" s="19" t="n"/>
    </row>
    <row r="1225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19" t="n"/>
      <c r="P1225" s="19" t="n"/>
      <c r="Q1225" s="19" t="n"/>
      <c r="R1225" s="19" t="n"/>
      <c r="S1225" s="19" t="n"/>
    </row>
    <row r="1226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19" t="n"/>
      <c r="P1226" s="19" t="n"/>
      <c r="Q1226" s="19" t="n"/>
      <c r="R1226" s="19" t="n"/>
      <c r="S1226" s="19" t="n"/>
    </row>
    <row r="1227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19" t="n"/>
      <c r="P1227" s="19" t="n"/>
      <c r="Q1227" s="19" t="n"/>
      <c r="R1227" s="19" t="n"/>
      <c r="S1227" s="19" t="n"/>
    </row>
    <row r="1228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19" t="n"/>
      <c r="P1228" s="19" t="n"/>
      <c r="Q1228" s="19" t="n"/>
      <c r="R1228" s="19" t="n"/>
      <c r="S1228" s="19" t="n"/>
    </row>
    <row r="122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19" t="n"/>
      <c r="P1229" s="19" t="n"/>
      <c r="Q1229" s="19" t="n"/>
      <c r="R1229" s="19" t="n"/>
      <c r="S1229" s="19" t="n"/>
    </row>
    <row r="1230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19" t="n"/>
      <c r="P1230" s="19" t="n"/>
      <c r="Q1230" s="19" t="n"/>
      <c r="R1230" s="19" t="n"/>
      <c r="S1230" s="19" t="n"/>
    </row>
    <row r="1231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19" t="n"/>
      <c r="P1231" s="19" t="n"/>
      <c r="Q1231" s="19" t="n"/>
      <c r="R1231" s="19" t="n"/>
      <c r="S1231" s="19" t="n"/>
    </row>
    <row r="1232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19" t="n"/>
      <c r="P1232" s="19" t="n"/>
      <c r="Q1232" s="19" t="n"/>
      <c r="R1232" s="19" t="n"/>
      <c r="S1232" s="19" t="n"/>
    </row>
    <row r="1233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19" t="n"/>
      <c r="P1233" s="19" t="n"/>
      <c r="Q1233" s="19" t="n"/>
      <c r="R1233" s="19" t="n"/>
      <c r="S1233" s="19" t="n"/>
    </row>
    <row r="1234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19" t="n"/>
      <c r="P1234" s="19" t="n"/>
      <c r="Q1234" s="19" t="n"/>
      <c r="R1234" s="19" t="n"/>
      <c r="S1234" s="19" t="n"/>
    </row>
    <row r="1235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19" t="n"/>
      <c r="P1235" s="19" t="n"/>
      <c r="Q1235" s="19" t="n"/>
      <c r="R1235" s="19" t="n"/>
      <c r="S1235" s="19" t="n"/>
    </row>
    <row r="1236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19" t="n"/>
      <c r="P1236" s="19" t="n"/>
      <c r="Q1236" s="19" t="n"/>
      <c r="R1236" s="19" t="n"/>
      <c r="S1236" s="19" t="n"/>
    </row>
    <row r="1237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19" t="n"/>
      <c r="P1237" s="19" t="n"/>
      <c r="Q1237" s="19" t="n"/>
      <c r="R1237" s="19" t="n"/>
      <c r="S1237" s="19" t="n"/>
    </row>
    <row r="1238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19" t="n"/>
      <c r="P1238" s="19" t="n"/>
      <c r="Q1238" s="19" t="n"/>
      <c r="R1238" s="19" t="n"/>
      <c r="S1238" s="19" t="n"/>
    </row>
    <row r="12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19" t="n"/>
      <c r="P1239" s="19" t="n"/>
      <c r="Q1239" s="19" t="n"/>
      <c r="R1239" s="19" t="n"/>
      <c r="S1239" s="19" t="n"/>
    </row>
    <row r="1240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19" t="n"/>
      <c r="P1240" s="19" t="n"/>
      <c r="Q1240" s="19" t="n"/>
      <c r="R1240" s="19" t="n"/>
      <c r="S1240" s="19" t="n"/>
    </row>
    <row r="1241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19" t="n"/>
      <c r="P1241" s="19" t="n"/>
      <c r="Q1241" s="19" t="n"/>
      <c r="R1241" s="19" t="n"/>
      <c r="S1241" s="19" t="n"/>
    </row>
    <row r="1242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19" t="n"/>
      <c r="P1242" s="19" t="n"/>
      <c r="Q1242" s="19" t="n"/>
      <c r="R1242" s="19" t="n"/>
      <c r="S1242" s="19" t="n"/>
    </row>
    <row r="1243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19" t="n"/>
      <c r="P1243" s="19" t="n"/>
      <c r="Q1243" s="19" t="n"/>
      <c r="R1243" s="19" t="n"/>
      <c r="S1243" s="19" t="n"/>
    </row>
    <row r="1244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19" t="n"/>
      <c r="P1244" s="19" t="n"/>
      <c r="Q1244" s="19" t="n"/>
      <c r="R1244" s="19" t="n"/>
      <c r="S1244" s="19" t="n"/>
    </row>
    <row r="1245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19" t="n"/>
      <c r="P1245" s="19" t="n"/>
      <c r="Q1245" s="19" t="n"/>
      <c r="R1245" s="19" t="n"/>
      <c r="S1245" s="19" t="n"/>
    </row>
    <row r="1246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19" t="n"/>
      <c r="P1246" s="19" t="n"/>
      <c r="Q1246" s="19" t="n"/>
      <c r="R1246" s="19" t="n"/>
      <c r="S1246" s="19" t="n"/>
    </row>
    <row r="1247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19" t="n"/>
      <c r="P1247" s="19" t="n"/>
      <c r="Q1247" s="19" t="n"/>
      <c r="R1247" s="19" t="n"/>
      <c r="S1247" s="19" t="n"/>
    </row>
    <row r="1248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19" t="n"/>
      <c r="P1248" s="19" t="n"/>
      <c r="Q1248" s="19" t="n"/>
      <c r="R1248" s="19" t="n"/>
      <c r="S1248" s="19" t="n"/>
    </row>
    <row r="124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19" t="n"/>
      <c r="P1249" s="19" t="n"/>
      <c r="Q1249" s="19" t="n"/>
      <c r="R1249" s="19" t="n"/>
      <c r="S1249" s="19" t="n"/>
    </row>
    <row r="1250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19" t="n"/>
      <c r="P1250" s="19" t="n"/>
      <c r="Q1250" s="19" t="n"/>
      <c r="R1250" s="19" t="n"/>
      <c r="S1250" s="19" t="n"/>
    </row>
    <row r="1251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19" t="n"/>
      <c r="P1251" s="19" t="n"/>
      <c r="Q1251" s="19" t="n"/>
      <c r="R1251" s="19" t="n"/>
      <c r="S1251" s="19" t="n"/>
    </row>
    <row r="1252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19" t="n"/>
      <c r="P1252" s="19" t="n"/>
      <c r="Q1252" s="19" t="n"/>
      <c r="R1252" s="19" t="n"/>
      <c r="S1252" s="19" t="n"/>
    </row>
    <row r="1253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19" t="n"/>
      <c r="P1253" s="19" t="n"/>
      <c r="Q1253" s="19" t="n"/>
      <c r="R1253" s="19" t="n"/>
      <c r="S1253" s="19" t="n"/>
    </row>
    <row r="1254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19" t="n"/>
      <c r="P1254" s="19" t="n"/>
      <c r="Q1254" s="19" t="n"/>
      <c r="R1254" s="19" t="n"/>
      <c r="S1254" s="19" t="n"/>
    </row>
    <row r="1255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19" t="n"/>
      <c r="P1255" s="19" t="n"/>
      <c r="Q1255" s="19" t="n"/>
      <c r="R1255" s="19" t="n"/>
      <c r="S1255" s="19" t="n"/>
    </row>
    <row r="1256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19" t="n"/>
      <c r="P1256" s="19" t="n"/>
      <c r="Q1256" s="19" t="n"/>
      <c r="R1256" s="19" t="n"/>
      <c r="S1256" s="19" t="n"/>
    </row>
    <row r="1257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19" t="n"/>
      <c r="P1257" s="19" t="n"/>
      <c r="Q1257" s="19" t="n"/>
      <c r="R1257" s="19" t="n"/>
      <c r="S1257" s="19" t="n"/>
    </row>
    <row r="1258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19" t="n"/>
      <c r="P1258" s="19" t="n"/>
      <c r="Q1258" s="19" t="n"/>
      <c r="R1258" s="19" t="n"/>
      <c r="S1258" s="19" t="n"/>
    </row>
    <row r="125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19" t="n"/>
      <c r="P1259" s="19" t="n"/>
      <c r="Q1259" s="19" t="n"/>
      <c r="R1259" s="19" t="n"/>
      <c r="S1259" s="19" t="n"/>
    </row>
    <row r="1260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19" t="n"/>
      <c r="P1260" s="19" t="n"/>
      <c r="Q1260" s="19" t="n"/>
      <c r="R1260" s="19" t="n"/>
      <c r="S1260" s="19" t="n"/>
    </row>
    <row r="1261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19" t="n"/>
      <c r="P1261" s="19" t="n"/>
      <c r="Q1261" s="19" t="n"/>
      <c r="R1261" s="19" t="n"/>
      <c r="S1261" s="19" t="n"/>
    </row>
    <row r="1262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19" t="n"/>
      <c r="P1262" s="19" t="n"/>
      <c r="Q1262" s="19" t="n"/>
      <c r="R1262" s="19" t="n"/>
      <c r="S1262" s="19" t="n"/>
    </row>
    <row r="1263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19" t="n"/>
      <c r="P1263" s="19" t="n"/>
      <c r="Q1263" s="19" t="n"/>
      <c r="R1263" s="19" t="n"/>
      <c r="S1263" s="19" t="n"/>
    </row>
    <row r="1264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19" t="n"/>
      <c r="P1264" s="19" t="n"/>
      <c r="Q1264" s="19" t="n"/>
      <c r="R1264" s="19" t="n"/>
      <c r="S1264" s="19" t="n"/>
    </row>
    <row r="1265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19" t="n"/>
      <c r="P1265" s="19" t="n"/>
      <c r="Q1265" s="19" t="n"/>
      <c r="R1265" s="19" t="n"/>
      <c r="S1265" s="19" t="n"/>
    </row>
    <row r="1266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19" t="n"/>
      <c r="P1266" s="19" t="n"/>
      <c r="Q1266" s="19" t="n"/>
      <c r="R1266" s="19" t="n"/>
      <c r="S1266" s="19" t="n"/>
    </row>
    <row r="1267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19" t="n"/>
      <c r="P1267" s="19" t="n"/>
      <c r="Q1267" s="19" t="n"/>
      <c r="R1267" s="19" t="n"/>
      <c r="S1267" s="19" t="n"/>
    </row>
    <row r="1268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19" t="n"/>
      <c r="P1268" s="19" t="n"/>
      <c r="Q1268" s="19" t="n"/>
      <c r="R1268" s="19" t="n"/>
      <c r="S1268" s="19" t="n"/>
    </row>
    <row r="126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19" t="n"/>
      <c r="P1269" s="19" t="n"/>
      <c r="Q1269" s="19" t="n"/>
      <c r="R1269" s="19" t="n"/>
      <c r="S1269" s="19" t="n"/>
    </row>
    <row r="1270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19" t="n"/>
      <c r="P1270" s="19" t="n"/>
      <c r="Q1270" s="19" t="n"/>
      <c r="R1270" s="19" t="n"/>
      <c r="S1270" s="19" t="n"/>
    </row>
    <row r="1271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19" t="n"/>
      <c r="P1271" s="19" t="n"/>
      <c r="Q1271" s="19" t="n"/>
      <c r="R1271" s="19" t="n"/>
      <c r="S1271" s="19" t="n"/>
    </row>
    <row r="1272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19" t="n"/>
      <c r="P1272" s="19" t="n"/>
      <c r="Q1272" s="19" t="n"/>
      <c r="R1272" s="19" t="n"/>
      <c r="S1272" s="19" t="n"/>
    </row>
    <row r="1273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19" t="n"/>
      <c r="P1273" s="19" t="n"/>
      <c r="Q1273" s="19" t="n"/>
      <c r="R1273" s="19" t="n"/>
      <c r="S1273" s="19" t="n"/>
    </row>
    <row r="1274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19" t="n"/>
      <c r="P1274" s="19" t="n"/>
      <c r="Q1274" s="19" t="n"/>
      <c r="R1274" s="19" t="n"/>
      <c r="S1274" s="19" t="n"/>
    </row>
    <row r="1275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19" t="n"/>
      <c r="P1275" s="19" t="n"/>
      <c r="Q1275" s="19" t="n"/>
      <c r="R1275" s="19" t="n"/>
      <c r="S1275" s="19" t="n"/>
    </row>
    <row r="1276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19" t="n"/>
      <c r="P1276" s="19" t="n"/>
      <c r="Q1276" s="19" t="n"/>
      <c r="R1276" s="19" t="n"/>
      <c r="S1276" s="19" t="n"/>
    </row>
    <row r="1277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19" t="n"/>
      <c r="P1277" s="19" t="n"/>
      <c r="Q1277" s="19" t="n"/>
      <c r="R1277" s="19" t="n"/>
      <c r="S1277" s="19" t="n"/>
    </row>
    <row r="1278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19" t="n"/>
      <c r="P1278" s="19" t="n"/>
      <c r="Q1278" s="19" t="n"/>
      <c r="R1278" s="19" t="n"/>
      <c r="S1278" s="19" t="n"/>
    </row>
    <row r="127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19" t="n"/>
      <c r="P1279" s="19" t="n"/>
      <c r="Q1279" s="19" t="n"/>
      <c r="R1279" s="19" t="n"/>
      <c r="S1279" s="19" t="n"/>
    </row>
    <row r="1280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19" t="n"/>
      <c r="P1280" s="19" t="n"/>
      <c r="Q1280" s="19" t="n"/>
      <c r="R1280" s="19" t="n"/>
      <c r="S1280" s="19" t="n"/>
    </row>
    <row r="1281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19" t="n"/>
      <c r="P1281" s="19" t="n"/>
      <c r="Q1281" s="19" t="n"/>
      <c r="R1281" s="19" t="n"/>
      <c r="S1281" s="19" t="n"/>
    </row>
    <row r="1282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19" t="n"/>
      <c r="P1282" s="19" t="n"/>
      <c r="Q1282" s="19" t="n"/>
      <c r="R1282" s="19" t="n"/>
      <c r="S1282" s="19" t="n"/>
    </row>
    <row r="1283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19" t="n"/>
      <c r="P1283" s="19" t="n"/>
      <c r="Q1283" s="19" t="n"/>
      <c r="R1283" s="19" t="n"/>
      <c r="S1283" s="19" t="n"/>
    </row>
    <row r="1284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19" t="n"/>
      <c r="P1284" s="19" t="n"/>
      <c r="Q1284" s="19" t="n"/>
      <c r="R1284" s="19" t="n"/>
      <c r="S1284" s="19" t="n"/>
    </row>
    <row r="1285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19" t="n"/>
      <c r="P1285" s="19" t="n"/>
      <c r="Q1285" s="19" t="n"/>
      <c r="R1285" s="19" t="n"/>
      <c r="S1285" s="19" t="n"/>
    </row>
    <row r="1286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19" t="n"/>
      <c r="P1286" s="19" t="n"/>
      <c r="Q1286" s="19" t="n"/>
      <c r="R1286" s="19" t="n"/>
      <c r="S1286" s="19" t="n"/>
    </row>
    <row r="1287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19" t="n"/>
      <c r="P1287" s="19" t="n"/>
      <c r="Q1287" s="19" t="n"/>
      <c r="R1287" s="19" t="n"/>
      <c r="S1287" s="19" t="n"/>
    </row>
    <row r="1288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19" t="n"/>
      <c r="P1288" s="19" t="n"/>
      <c r="Q1288" s="19" t="n"/>
      <c r="R1288" s="19" t="n"/>
      <c r="S1288" s="19" t="n"/>
    </row>
    <row r="128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19" t="n"/>
      <c r="P1289" s="19" t="n"/>
      <c r="Q1289" s="19" t="n"/>
      <c r="R1289" s="19" t="n"/>
      <c r="S1289" s="19" t="n"/>
    </row>
    <row r="1290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19" t="n"/>
      <c r="P1290" s="19" t="n"/>
      <c r="Q1290" s="19" t="n"/>
      <c r="R1290" s="19" t="n"/>
      <c r="S1290" s="19" t="n"/>
    </row>
    <row r="1291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19" t="n"/>
      <c r="P1291" s="19" t="n"/>
      <c r="Q1291" s="19" t="n"/>
      <c r="R1291" s="19" t="n"/>
      <c r="S1291" s="19" t="n"/>
    </row>
    <row r="1292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19" t="n"/>
      <c r="P1292" s="19" t="n"/>
      <c r="Q1292" s="19" t="n"/>
      <c r="R1292" s="19" t="n"/>
      <c r="S1292" s="19" t="n"/>
    </row>
    <row r="1293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19" t="n"/>
      <c r="P1293" s="19" t="n"/>
      <c r="Q1293" s="19" t="n"/>
      <c r="R1293" s="19" t="n"/>
      <c r="S1293" s="19" t="n"/>
    </row>
    <row r="1294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19" t="n"/>
      <c r="P1294" s="19" t="n"/>
      <c r="Q1294" s="19" t="n"/>
      <c r="R1294" s="19" t="n"/>
      <c r="S1294" s="19" t="n"/>
    </row>
    <row r="1295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19" t="n"/>
      <c r="P1295" s="19" t="n"/>
      <c r="Q1295" s="19" t="n"/>
      <c r="R1295" s="19" t="n"/>
      <c r="S1295" s="19" t="n"/>
    </row>
    <row r="1296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19" t="n"/>
      <c r="P1296" s="19" t="n"/>
      <c r="Q1296" s="19" t="n"/>
      <c r="R1296" s="19" t="n"/>
      <c r="S1296" s="19" t="n"/>
    </row>
    <row r="1297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19" t="n"/>
      <c r="P1297" s="19" t="n"/>
      <c r="Q1297" s="19" t="n"/>
      <c r="R1297" s="19" t="n"/>
      <c r="S1297" s="19" t="n"/>
    </row>
    <row r="1298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19" t="n"/>
      <c r="P1298" s="19" t="n"/>
      <c r="Q1298" s="19" t="n"/>
      <c r="R1298" s="19" t="n"/>
      <c r="S1298" s="19" t="n"/>
    </row>
    <row r="129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19" t="n"/>
      <c r="P1299" s="19" t="n"/>
      <c r="Q1299" s="19" t="n"/>
      <c r="R1299" s="19" t="n"/>
      <c r="S1299" s="19" t="n"/>
    </row>
    <row r="1300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19" t="n"/>
      <c r="P1300" s="19" t="n"/>
      <c r="Q1300" s="19" t="n"/>
      <c r="R1300" s="19" t="n"/>
      <c r="S1300" s="19" t="n"/>
    </row>
    <row r="1301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19" t="n"/>
      <c r="P1301" s="19" t="n"/>
      <c r="Q1301" s="19" t="n"/>
      <c r="R1301" s="19" t="n"/>
      <c r="S1301" s="19" t="n"/>
    </row>
    <row r="1302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19" t="n"/>
      <c r="P1302" s="19" t="n"/>
      <c r="Q1302" s="19" t="n"/>
      <c r="R1302" s="19" t="n"/>
      <c r="S1302" s="19" t="n"/>
    </row>
    <row r="1303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19" t="n"/>
      <c r="P1303" s="19" t="n"/>
      <c r="Q1303" s="19" t="n"/>
      <c r="R1303" s="19" t="n"/>
      <c r="S1303" s="19" t="n"/>
    </row>
    <row r="1304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19" t="n"/>
      <c r="P1304" s="19" t="n"/>
      <c r="Q1304" s="19" t="n"/>
      <c r="R1304" s="19" t="n"/>
      <c r="S1304" s="19" t="n"/>
    </row>
    <row r="1305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19" t="n"/>
      <c r="P1305" s="19" t="n"/>
      <c r="Q1305" s="19" t="n"/>
      <c r="R1305" s="19" t="n"/>
      <c r="S1305" s="19" t="n"/>
    </row>
    <row r="1306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19" t="n"/>
      <c r="P1306" s="19" t="n"/>
      <c r="Q1306" s="19" t="n"/>
      <c r="R1306" s="19" t="n"/>
      <c r="S1306" s="19" t="n"/>
    </row>
    <row r="1307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19" t="n"/>
      <c r="P1307" s="19" t="n"/>
      <c r="Q1307" s="19" t="n"/>
      <c r="R1307" s="19" t="n"/>
      <c r="S1307" s="19" t="n"/>
    </row>
    <row r="1308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19" t="n"/>
      <c r="P1308" s="19" t="n"/>
      <c r="Q1308" s="19" t="n"/>
      <c r="R1308" s="19" t="n"/>
      <c r="S1308" s="19" t="n"/>
    </row>
    <row r="130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19" t="n"/>
      <c r="P1309" s="19" t="n"/>
      <c r="Q1309" s="19" t="n"/>
      <c r="R1309" s="19" t="n"/>
      <c r="S1309" s="19" t="n"/>
    </row>
    <row r="1310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19" t="n"/>
      <c r="P1310" s="19" t="n"/>
      <c r="Q1310" s="19" t="n"/>
      <c r="R1310" s="19" t="n"/>
      <c r="S1310" s="19" t="n"/>
    </row>
    <row r="1311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19" t="n"/>
      <c r="P1311" s="19" t="n"/>
      <c r="Q1311" s="19" t="n"/>
      <c r="R1311" s="19" t="n"/>
      <c r="S1311" s="19" t="n"/>
    </row>
    <row r="1312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19" t="n"/>
      <c r="P1312" s="19" t="n"/>
      <c r="Q1312" s="19" t="n"/>
      <c r="R1312" s="19" t="n"/>
      <c r="S1312" s="19" t="n"/>
    </row>
    <row r="1313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19" t="n"/>
      <c r="P1313" s="19" t="n"/>
      <c r="Q1313" s="19" t="n"/>
      <c r="R1313" s="19" t="n"/>
      <c r="S1313" s="19" t="n"/>
    </row>
    <row r="1314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19" t="n"/>
      <c r="P1314" s="19" t="n"/>
      <c r="Q1314" s="19" t="n"/>
      <c r="R1314" s="19" t="n"/>
      <c r="S1314" s="19" t="n"/>
    </row>
    <row r="1315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19" t="n"/>
      <c r="P1315" s="19" t="n"/>
      <c r="Q1315" s="19" t="n"/>
      <c r="R1315" s="19" t="n"/>
      <c r="S1315" s="19" t="n"/>
    </row>
    <row r="1316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19" t="n"/>
      <c r="P1316" s="19" t="n"/>
      <c r="Q1316" s="19" t="n"/>
      <c r="R1316" s="19" t="n"/>
      <c r="S1316" s="19" t="n"/>
    </row>
    <row r="1317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19" t="n"/>
      <c r="P1317" s="19" t="n"/>
      <c r="Q1317" s="19" t="n"/>
      <c r="R1317" s="19" t="n"/>
      <c r="S1317" s="19" t="n"/>
    </row>
    <row r="1318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19" t="n"/>
      <c r="P1318" s="19" t="n"/>
      <c r="Q1318" s="19" t="n"/>
      <c r="R1318" s="19" t="n"/>
      <c r="S1318" s="19" t="n"/>
    </row>
    <row r="131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19" t="n"/>
      <c r="P1319" s="19" t="n"/>
      <c r="Q1319" s="19" t="n"/>
      <c r="R1319" s="19" t="n"/>
      <c r="S1319" s="19" t="n"/>
    </row>
    <row r="1320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19" t="n"/>
      <c r="P1320" s="19" t="n"/>
      <c r="Q1320" s="19" t="n"/>
      <c r="R1320" s="19" t="n"/>
      <c r="S1320" s="19" t="n"/>
    </row>
    <row r="1321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19" t="n"/>
      <c r="P1321" s="19" t="n"/>
      <c r="Q1321" s="19" t="n"/>
      <c r="R1321" s="19" t="n"/>
      <c r="S1321" s="19" t="n"/>
    </row>
    <row r="1322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19" t="n"/>
      <c r="P1322" s="19" t="n"/>
      <c r="Q1322" s="19" t="n"/>
      <c r="R1322" s="19" t="n"/>
      <c r="S1322" s="19" t="n"/>
    </row>
    <row r="1323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19" t="n"/>
      <c r="P1323" s="19" t="n"/>
      <c r="Q1323" s="19" t="n"/>
      <c r="R1323" s="19" t="n"/>
      <c r="S1323" s="19" t="n"/>
    </row>
    <row r="1324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19" t="n"/>
      <c r="P1324" s="19" t="n"/>
      <c r="Q1324" s="19" t="n"/>
      <c r="R1324" s="19" t="n"/>
      <c r="S1324" s="19" t="n"/>
    </row>
    <row r="1325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19" t="n"/>
      <c r="P1325" s="19" t="n"/>
      <c r="Q1325" s="19" t="n"/>
      <c r="R1325" s="19" t="n"/>
      <c r="S1325" s="19" t="n"/>
    </row>
    <row r="1326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19" t="n"/>
      <c r="P1326" s="19" t="n"/>
      <c r="Q1326" s="19" t="n"/>
      <c r="R1326" s="19" t="n"/>
      <c r="S1326" s="19" t="n"/>
    </row>
    <row r="1327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19" t="n"/>
      <c r="P1327" s="19" t="n"/>
      <c r="Q1327" s="19" t="n"/>
      <c r="R1327" s="19" t="n"/>
      <c r="S1327" s="19" t="n"/>
    </row>
    <row r="1328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19" t="n"/>
      <c r="P1328" s="19" t="n"/>
      <c r="Q1328" s="19" t="n"/>
      <c r="R1328" s="19" t="n"/>
      <c r="S1328" s="19" t="n"/>
    </row>
    <row r="132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19" t="n"/>
      <c r="P1329" s="19" t="n"/>
      <c r="Q1329" s="19" t="n"/>
      <c r="R1329" s="19" t="n"/>
      <c r="S1329" s="19" t="n"/>
    </row>
    <row r="1330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19" t="n"/>
      <c r="P1330" s="19" t="n"/>
      <c r="Q1330" s="19" t="n"/>
      <c r="R1330" s="19" t="n"/>
      <c r="S1330" s="19" t="n"/>
    </row>
    <row r="1331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19" t="n"/>
      <c r="P1331" s="19" t="n"/>
      <c r="Q1331" s="19" t="n"/>
      <c r="R1331" s="19" t="n"/>
      <c r="S1331" s="19" t="n"/>
    </row>
    <row r="1332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19" t="n"/>
      <c r="P1332" s="19" t="n"/>
      <c r="Q1332" s="19" t="n"/>
      <c r="R1332" s="19" t="n"/>
      <c r="S1332" s="19" t="n"/>
    </row>
    <row r="1333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19" t="n"/>
      <c r="P1333" s="19" t="n"/>
      <c r="Q1333" s="19" t="n"/>
      <c r="R1333" s="19" t="n"/>
      <c r="S1333" s="19" t="n"/>
    </row>
    <row r="1334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19" t="n"/>
      <c r="P1334" s="19" t="n"/>
      <c r="Q1334" s="19" t="n"/>
      <c r="R1334" s="19" t="n"/>
      <c r="S1334" s="19" t="n"/>
    </row>
    <row r="1335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19" t="n"/>
      <c r="P1335" s="19" t="n"/>
      <c r="Q1335" s="19" t="n"/>
      <c r="R1335" s="19" t="n"/>
      <c r="S1335" s="19" t="n"/>
    </row>
    <row r="1336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19" t="n"/>
      <c r="P1336" s="19" t="n"/>
      <c r="Q1336" s="19" t="n"/>
      <c r="R1336" s="19" t="n"/>
      <c r="S1336" s="19" t="n"/>
    </row>
    <row r="1337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19" t="n"/>
      <c r="P1337" s="19" t="n"/>
      <c r="Q1337" s="19" t="n"/>
      <c r="R1337" s="19" t="n"/>
      <c r="S1337" s="19" t="n"/>
    </row>
    <row r="1338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19" t="n"/>
      <c r="P1338" s="19" t="n"/>
      <c r="Q1338" s="19" t="n"/>
      <c r="R1338" s="19" t="n"/>
      <c r="S1338" s="19" t="n"/>
    </row>
    <row r="13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19" t="n"/>
      <c r="P1339" s="19" t="n"/>
      <c r="Q1339" s="19" t="n"/>
      <c r="R1339" s="19" t="n"/>
      <c r="S1339" s="19" t="n"/>
    </row>
    <row r="1340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19" t="n"/>
      <c r="P1340" s="19" t="n"/>
      <c r="Q1340" s="19" t="n"/>
      <c r="R1340" s="19" t="n"/>
      <c r="S1340" s="19" t="n"/>
    </row>
    <row r="1341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19" t="n"/>
      <c r="P1341" s="19" t="n"/>
      <c r="Q1341" s="19" t="n"/>
      <c r="R1341" s="19" t="n"/>
      <c r="S1341" s="19" t="n"/>
    </row>
    <row r="1342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19" t="n"/>
      <c r="P1342" s="19" t="n"/>
      <c r="Q1342" s="19" t="n"/>
      <c r="R1342" s="19" t="n"/>
      <c r="S1342" s="19" t="n"/>
    </row>
    <row r="1343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19" t="n"/>
      <c r="P1343" s="19" t="n"/>
      <c r="Q1343" s="19" t="n"/>
      <c r="R1343" s="19" t="n"/>
      <c r="S1343" s="19" t="n"/>
    </row>
    <row r="1344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19" t="n"/>
      <c r="P1344" s="19" t="n"/>
      <c r="Q1344" s="19" t="n"/>
      <c r="R1344" s="19" t="n"/>
      <c r="S1344" s="19" t="n"/>
    </row>
    <row r="1345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19" t="n"/>
      <c r="P1345" s="19" t="n"/>
      <c r="Q1345" s="19" t="n"/>
      <c r="R1345" s="19" t="n"/>
      <c r="S1345" s="19" t="n"/>
    </row>
    <row r="1346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19" t="n"/>
      <c r="P1346" s="19" t="n"/>
      <c r="Q1346" s="19" t="n"/>
      <c r="R1346" s="19" t="n"/>
      <c r="S1346" s="19" t="n"/>
    </row>
    <row r="1347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19" t="n"/>
      <c r="P1347" s="19" t="n"/>
      <c r="Q1347" s="19" t="n"/>
      <c r="R1347" s="19" t="n"/>
      <c r="S1347" s="19" t="n"/>
    </row>
    <row r="1348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19" t="n"/>
      <c r="P1348" s="19" t="n"/>
      <c r="Q1348" s="19" t="n"/>
      <c r="R1348" s="19" t="n"/>
      <c r="S1348" s="19" t="n"/>
    </row>
    <row r="134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19" t="n"/>
      <c r="P1349" s="19" t="n"/>
      <c r="Q1349" s="19" t="n"/>
      <c r="R1349" s="19" t="n"/>
      <c r="S1349" s="19" t="n"/>
    </row>
    <row r="1350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19" t="n"/>
      <c r="P1350" s="19" t="n"/>
      <c r="Q1350" s="19" t="n"/>
      <c r="R1350" s="19" t="n"/>
      <c r="S1350" s="19" t="n"/>
    </row>
    <row r="1351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19" t="n"/>
      <c r="P1351" s="19" t="n"/>
      <c r="Q1351" s="19" t="n"/>
      <c r="R1351" s="19" t="n"/>
      <c r="S1351" s="19" t="n"/>
    </row>
    <row r="1352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19" t="n"/>
      <c r="P1352" s="19" t="n"/>
      <c r="Q1352" s="19" t="n"/>
      <c r="R1352" s="19" t="n"/>
      <c r="S1352" s="19" t="n"/>
    </row>
    <row r="1353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19" t="n"/>
      <c r="P1353" s="19" t="n"/>
      <c r="Q1353" s="19" t="n"/>
      <c r="R1353" s="19" t="n"/>
      <c r="S1353" s="19" t="n"/>
    </row>
    <row r="1354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19" t="n"/>
      <c r="P1354" s="19" t="n"/>
      <c r="Q1354" s="19" t="n"/>
      <c r="R1354" s="19" t="n"/>
      <c r="S1354" s="19" t="n"/>
    </row>
    <row r="1355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19" t="n"/>
      <c r="P1355" s="19" t="n"/>
      <c r="Q1355" s="19" t="n"/>
      <c r="R1355" s="19" t="n"/>
      <c r="S1355" s="19" t="n"/>
    </row>
    <row r="1356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19" t="n"/>
      <c r="P1356" s="19" t="n"/>
      <c r="Q1356" s="19" t="n"/>
      <c r="R1356" s="19" t="n"/>
      <c r="S1356" s="19" t="n"/>
    </row>
    <row r="1357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19" t="n"/>
      <c r="P1357" s="19" t="n"/>
      <c r="Q1357" s="19" t="n"/>
      <c r="R1357" s="19" t="n"/>
      <c r="S1357" s="19" t="n"/>
    </row>
    <row r="1358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19" t="n"/>
      <c r="P1358" s="19" t="n"/>
      <c r="Q1358" s="19" t="n"/>
      <c r="R1358" s="19" t="n"/>
      <c r="S1358" s="19" t="n"/>
    </row>
    <row r="135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19" t="n"/>
      <c r="P1359" s="19" t="n"/>
      <c r="Q1359" s="19" t="n"/>
      <c r="R1359" s="19" t="n"/>
      <c r="S1359" s="19" t="n"/>
    </row>
    <row r="1360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19" t="n"/>
      <c r="P1360" s="19" t="n"/>
      <c r="Q1360" s="19" t="n"/>
      <c r="R1360" s="19" t="n"/>
      <c r="S1360" s="19" t="n"/>
    </row>
    <row r="1361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19" t="n"/>
      <c r="P1361" s="19" t="n"/>
      <c r="Q1361" s="19" t="n"/>
      <c r="R1361" s="19" t="n"/>
      <c r="S1361" s="19" t="n"/>
    </row>
    <row r="1362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19" t="n"/>
      <c r="P1362" s="19" t="n"/>
      <c r="Q1362" s="19" t="n"/>
      <c r="R1362" s="19" t="n"/>
      <c r="S1362" s="19" t="n"/>
    </row>
    <row r="1363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19" t="n"/>
      <c r="P1363" s="19" t="n"/>
      <c r="Q1363" s="19" t="n"/>
      <c r="R1363" s="19" t="n"/>
      <c r="S1363" s="19" t="n"/>
    </row>
    <row r="1364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19" t="n"/>
      <c r="P1364" s="19" t="n"/>
      <c r="Q1364" s="19" t="n"/>
      <c r="R1364" s="19" t="n"/>
      <c r="S1364" s="19" t="n"/>
    </row>
    <row r="1365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19" t="n"/>
      <c r="P1365" s="19" t="n"/>
      <c r="Q1365" s="19" t="n"/>
      <c r="R1365" s="19" t="n"/>
      <c r="S1365" s="19" t="n"/>
    </row>
    <row r="1366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19" t="n"/>
      <c r="P1366" s="19" t="n"/>
      <c r="Q1366" s="19" t="n"/>
      <c r="R1366" s="19" t="n"/>
      <c r="S1366" s="19" t="n"/>
    </row>
    <row r="1367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19" t="n"/>
      <c r="P1367" s="19" t="n"/>
      <c r="Q1367" s="19" t="n"/>
      <c r="R1367" s="19" t="n"/>
      <c r="S1367" s="19" t="n"/>
    </row>
    <row r="1368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19" t="n"/>
      <c r="P1368" s="19" t="n"/>
      <c r="Q1368" s="19" t="n"/>
      <c r="R1368" s="19" t="n"/>
      <c r="S1368" s="19" t="n"/>
    </row>
    <row r="136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19" t="n"/>
      <c r="P1369" s="19" t="n"/>
      <c r="Q1369" s="19" t="n"/>
      <c r="R1369" s="19" t="n"/>
      <c r="S1369" s="19" t="n"/>
    </row>
    <row r="1370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19" t="n"/>
      <c r="P1370" s="19" t="n"/>
      <c r="Q1370" s="19" t="n"/>
      <c r="R1370" s="19" t="n"/>
      <c r="S1370" s="19" t="n"/>
    </row>
    <row r="1371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19" t="n"/>
      <c r="P1371" s="19" t="n"/>
      <c r="Q1371" s="19" t="n"/>
      <c r="R1371" s="19" t="n"/>
      <c r="S1371" s="19" t="n"/>
    </row>
    <row r="1372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19" t="n"/>
      <c r="P1372" s="19" t="n"/>
      <c r="Q1372" s="19" t="n"/>
      <c r="R1372" s="19" t="n"/>
      <c r="S1372" s="19" t="n"/>
    </row>
    <row r="1373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19" t="n"/>
      <c r="P1373" s="19" t="n"/>
      <c r="Q1373" s="19" t="n"/>
      <c r="R1373" s="19" t="n"/>
      <c r="S1373" s="19" t="n"/>
    </row>
    <row r="1374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19" t="n"/>
      <c r="P1374" s="19" t="n"/>
      <c r="Q1374" s="19" t="n"/>
      <c r="R1374" s="19" t="n"/>
      <c r="S1374" s="19" t="n"/>
    </row>
    <row r="1375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19" t="n"/>
      <c r="P1375" s="19" t="n"/>
      <c r="Q1375" s="19" t="n"/>
      <c r="R1375" s="19" t="n"/>
      <c r="S1375" s="19" t="n"/>
    </row>
    <row r="1376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19" t="n"/>
      <c r="P1376" s="19" t="n"/>
      <c r="Q1376" s="19" t="n"/>
      <c r="R1376" s="19" t="n"/>
      <c r="S1376" s="19" t="n"/>
    </row>
    <row r="1377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19" t="n"/>
      <c r="P1377" s="19" t="n"/>
      <c r="Q1377" s="19" t="n"/>
      <c r="R1377" s="19" t="n"/>
      <c r="S1377" s="19" t="n"/>
    </row>
    <row r="1378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19" t="n"/>
      <c r="P1378" s="19" t="n"/>
      <c r="Q1378" s="19" t="n"/>
      <c r="R1378" s="19" t="n"/>
      <c r="S1378" s="19" t="n"/>
    </row>
    <row r="137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19" t="n"/>
      <c r="P1379" s="19" t="n"/>
      <c r="Q1379" s="19" t="n"/>
      <c r="R1379" s="19" t="n"/>
      <c r="S1379" s="19" t="n"/>
    </row>
    <row r="1380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19" t="n"/>
      <c r="P1380" s="19" t="n"/>
      <c r="Q1380" s="19" t="n"/>
      <c r="R1380" s="19" t="n"/>
      <c r="S1380" s="19" t="n"/>
    </row>
    <row r="1381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19" t="n"/>
      <c r="P1381" s="19" t="n"/>
      <c r="Q1381" s="19" t="n"/>
      <c r="R1381" s="19" t="n"/>
      <c r="S1381" s="19" t="n"/>
    </row>
    <row r="1382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19" t="n"/>
      <c r="P1382" s="19" t="n"/>
      <c r="Q1382" s="19" t="n"/>
      <c r="R1382" s="19" t="n"/>
      <c r="S1382" s="19" t="n"/>
    </row>
    <row r="1383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19" t="n"/>
      <c r="P1383" s="19" t="n"/>
      <c r="Q1383" s="19" t="n"/>
      <c r="R1383" s="19" t="n"/>
      <c r="S1383" s="19" t="n"/>
    </row>
    <row r="1384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19" t="n"/>
      <c r="P1384" s="19" t="n"/>
      <c r="Q1384" s="19" t="n"/>
      <c r="R1384" s="19" t="n"/>
      <c r="S1384" s="19" t="n"/>
    </row>
    <row r="1385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19" t="n"/>
      <c r="P1385" s="19" t="n"/>
      <c r="Q1385" s="19" t="n"/>
      <c r="R1385" s="19" t="n"/>
      <c r="S1385" s="19" t="n"/>
    </row>
    <row r="1386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19" t="n"/>
      <c r="P1386" s="19" t="n"/>
      <c r="Q1386" s="19" t="n"/>
      <c r="R1386" s="19" t="n"/>
      <c r="S1386" s="19" t="n"/>
    </row>
    <row r="1387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19" t="n"/>
      <c r="P1387" s="19" t="n"/>
      <c r="Q1387" s="19" t="n"/>
      <c r="R1387" s="19" t="n"/>
      <c r="S1387" s="19" t="n"/>
    </row>
    <row r="1388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19" t="n"/>
      <c r="P1388" s="19" t="n"/>
      <c r="Q1388" s="19" t="n"/>
      <c r="R1388" s="19" t="n"/>
      <c r="S1388" s="19" t="n"/>
    </row>
    <row r="138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19" t="n"/>
      <c r="P1389" s="19" t="n"/>
      <c r="Q1389" s="19" t="n"/>
      <c r="R1389" s="19" t="n"/>
      <c r="S1389" s="19" t="n"/>
    </row>
    <row r="1390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19" t="n"/>
      <c r="P1390" s="19" t="n"/>
      <c r="Q1390" s="19" t="n"/>
      <c r="R1390" s="19" t="n"/>
      <c r="S1390" s="19" t="n"/>
    </row>
    <row r="1391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19" t="n"/>
      <c r="P1391" s="19" t="n"/>
      <c r="Q1391" s="19" t="n"/>
      <c r="R1391" s="19" t="n"/>
      <c r="S1391" s="19" t="n"/>
    </row>
    <row r="1392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19" t="n"/>
      <c r="P1392" s="19" t="n"/>
      <c r="Q1392" s="19" t="n"/>
      <c r="R1392" s="19" t="n"/>
      <c r="S1392" s="19" t="n"/>
    </row>
    <row r="1393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19" t="n"/>
      <c r="P1393" s="19" t="n"/>
      <c r="Q1393" s="19" t="n"/>
      <c r="R1393" s="19" t="n"/>
      <c r="S1393" s="19" t="n"/>
    </row>
    <row r="1394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19" t="n"/>
      <c r="P1394" s="19" t="n"/>
      <c r="Q1394" s="19" t="n"/>
      <c r="R1394" s="19" t="n"/>
      <c r="S1394" s="19" t="n"/>
    </row>
    <row r="1395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19" t="n"/>
      <c r="P1395" s="19" t="n"/>
      <c r="Q1395" s="19" t="n"/>
      <c r="R1395" s="19" t="n"/>
      <c r="S1395" s="19" t="n"/>
    </row>
    <row r="1396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19" t="n"/>
      <c r="P1396" s="19" t="n"/>
      <c r="Q1396" s="19" t="n"/>
      <c r="R1396" s="19" t="n"/>
      <c r="S1396" s="19" t="n"/>
    </row>
    <row r="1397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19" t="n"/>
      <c r="P1397" s="19" t="n"/>
      <c r="Q1397" s="19" t="n"/>
      <c r="R1397" s="19" t="n"/>
      <c r="S1397" s="19" t="n"/>
    </row>
    <row r="1398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19" t="n"/>
      <c r="P1398" s="19" t="n"/>
      <c r="Q1398" s="19" t="n"/>
      <c r="R1398" s="19" t="n"/>
      <c r="S1398" s="19" t="n"/>
    </row>
    <row r="139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19" t="n"/>
      <c r="P1399" s="19" t="n"/>
      <c r="Q1399" s="19" t="n"/>
      <c r="R1399" s="19" t="n"/>
      <c r="S1399" s="19" t="n"/>
    </row>
    <row r="1400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19" t="n"/>
      <c r="P1400" s="19" t="n"/>
      <c r="Q1400" s="19" t="n"/>
      <c r="R1400" s="19" t="n"/>
      <c r="S1400" s="19" t="n"/>
    </row>
    <row r="1401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19" t="n"/>
      <c r="P1401" s="19" t="n"/>
      <c r="Q1401" s="19" t="n"/>
      <c r="R1401" s="19" t="n"/>
      <c r="S1401" s="19" t="n"/>
    </row>
    <row r="1402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19" t="n"/>
      <c r="P1402" s="19" t="n"/>
      <c r="Q1402" s="19" t="n"/>
      <c r="R1402" s="19" t="n"/>
      <c r="S1402" s="19" t="n"/>
    </row>
    <row r="1403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19" t="n"/>
      <c r="P1403" s="19" t="n"/>
      <c r="Q1403" s="19" t="n"/>
      <c r="R1403" s="19" t="n"/>
      <c r="S1403" s="19" t="n"/>
    </row>
    <row r="1404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19" t="n"/>
      <c r="P1404" s="19" t="n"/>
      <c r="Q1404" s="19" t="n"/>
      <c r="R1404" s="19" t="n"/>
      <c r="S1404" s="19" t="n"/>
    </row>
    <row r="1405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19" t="n"/>
      <c r="P1405" s="19" t="n"/>
      <c r="Q1405" s="19" t="n"/>
      <c r="R1405" s="19" t="n"/>
      <c r="S1405" s="19" t="n"/>
    </row>
    <row r="1406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19" t="n"/>
      <c r="P1406" s="19" t="n"/>
      <c r="Q1406" s="19" t="n"/>
      <c r="R1406" s="19" t="n"/>
      <c r="S1406" s="19" t="n"/>
    </row>
    <row r="1407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19" t="n"/>
      <c r="P1407" s="19" t="n"/>
      <c r="Q1407" s="19" t="n"/>
      <c r="R1407" s="19" t="n"/>
      <c r="S1407" s="19" t="n"/>
    </row>
    <row r="1408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19" t="n"/>
      <c r="P1408" s="19" t="n"/>
      <c r="Q1408" s="19" t="n"/>
      <c r="R1408" s="19" t="n"/>
      <c r="S1408" s="19" t="n"/>
    </row>
    <row r="140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19" t="n"/>
      <c r="P1409" s="19" t="n"/>
      <c r="Q1409" s="19" t="n"/>
      <c r="R1409" s="19" t="n"/>
      <c r="S1409" s="19" t="n"/>
    </row>
    <row r="1410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19" t="n"/>
      <c r="P1410" s="19" t="n"/>
      <c r="Q1410" s="19" t="n"/>
      <c r="R1410" s="19" t="n"/>
      <c r="S1410" s="19" t="n"/>
    </row>
    <row r="1411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19" t="n"/>
      <c r="P1411" s="19" t="n"/>
      <c r="Q1411" s="19" t="n"/>
      <c r="R1411" s="19" t="n"/>
      <c r="S1411" s="19" t="n"/>
    </row>
    <row r="1412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19" t="n"/>
      <c r="P1412" s="19" t="n"/>
      <c r="Q1412" s="19" t="n"/>
      <c r="R1412" s="19" t="n"/>
      <c r="S1412" s="19" t="n"/>
    </row>
    <row r="1413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19" t="n"/>
      <c r="P1413" s="19" t="n"/>
      <c r="Q1413" s="19" t="n"/>
      <c r="R1413" s="19" t="n"/>
      <c r="S1413" s="19" t="n"/>
    </row>
    <row r="1414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19" t="n"/>
      <c r="P1414" s="19" t="n"/>
      <c r="Q1414" s="19" t="n"/>
      <c r="R1414" s="19" t="n"/>
      <c r="S1414" s="19" t="n"/>
    </row>
    <row r="1415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19" t="n"/>
      <c r="P1415" s="19" t="n"/>
      <c r="Q1415" s="19" t="n"/>
      <c r="R1415" s="19" t="n"/>
      <c r="S1415" s="19" t="n"/>
    </row>
    <row r="1416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19" t="n"/>
      <c r="P1416" s="19" t="n"/>
      <c r="Q1416" s="19" t="n"/>
      <c r="R1416" s="19" t="n"/>
      <c r="S1416" s="19" t="n"/>
    </row>
    <row r="1417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19" t="n"/>
      <c r="P1417" s="19" t="n"/>
      <c r="Q1417" s="19" t="n"/>
      <c r="R1417" s="19" t="n"/>
      <c r="S1417" s="19" t="n"/>
    </row>
    <row r="1418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19" t="n"/>
      <c r="P1418" s="19" t="n"/>
      <c r="Q1418" s="19" t="n"/>
      <c r="R1418" s="19" t="n"/>
      <c r="S1418" s="19" t="n"/>
    </row>
    <row r="141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19" t="n"/>
      <c r="P1419" s="19" t="n"/>
      <c r="Q1419" s="19" t="n"/>
      <c r="R1419" s="19" t="n"/>
      <c r="S1419" s="19" t="n"/>
    </row>
    <row r="1420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19" t="n"/>
      <c r="P1420" s="19" t="n"/>
      <c r="Q1420" s="19" t="n"/>
      <c r="R1420" s="19" t="n"/>
      <c r="S1420" s="19" t="n"/>
    </row>
    <row r="1421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19" t="n"/>
      <c r="P1421" s="19" t="n"/>
      <c r="Q1421" s="19" t="n"/>
      <c r="R1421" s="19" t="n"/>
      <c r="S1421" s="19" t="n"/>
    </row>
    <row r="1422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19" t="n"/>
      <c r="P1422" s="19" t="n"/>
      <c r="Q1422" s="19" t="n"/>
      <c r="R1422" s="19" t="n"/>
      <c r="S1422" s="19" t="n"/>
    </row>
    <row r="1423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19" t="n"/>
      <c r="P1423" s="19" t="n"/>
      <c r="Q1423" s="19" t="n"/>
      <c r="R1423" s="19" t="n"/>
      <c r="S1423" s="19" t="n"/>
    </row>
    <row r="1424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19" t="n"/>
      <c r="P1424" s="19" t="n"/>
      <c r="Q1424" s="19" t="n"/>
      <c r="R1424" s="19" t="n"/>
      <c r="S1424" s="19" t="n"/>
    </row>
    <row r="1425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19" t="n"/>
      <c r="P1425" s="19" t="n"/>
      <c r="Q1425" s="19" t="n"/>
      <c r="R1425" s="19" t="n"/>
      <c r="S1425" s="19" t="n"/>
    </row>
    <row r="1426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19" t="n"/>
      <c r="P1426" s="19" t="n"/>
      <c r="Q1426" s="19" t="n"/>
      <c r="R1426" s="19" t="n"/>
      <c r="S1426" s="19" t="n"/>
    </row>
    <row r="1427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19" t="n"/>
      <c r="P1427" s="19" t="n"/>
      <c r="Q1427" s="19" t="n"/>
      <c r="R1427" s="19" t="n"/>
      <c r="S1427" s="19" t="n"/>
    </row>
    <row r="1428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19" t="n"/>
      <c r="P1428" s="19" t="n"/>
      <c r="Q1428" s="19" t="n"/>
      <c r="R1428" s="19" t="n"/>
      <c r="S1428" s="19" t="n"/>
    </row>
    <row r="142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19" t="n"/>
      <c r="P1429" s="19" t="n"/>
      <c r="Q1429" s="19" t="n"/>
      <c r="R1429" s="19" t="n"/>
      <c r="S1429" s="19" t="n"/>
    </row>
    <row r="1430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19" t="n"/>
      <c r="P1430" s="19" t="n"/>
      <c r="Q1430" s="19" t="n"/>
      <c r="R1430" s="19" t="n"/>
      <c r="S1430" s="19" t="n"/>
    </row>
    <row r="1431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19" t="n"/>
      <c r="P1431" s="19" t="n"/>
      <c r="Q1431" s="19" t="n"/>
      <c r="R1431" s="19" t="n"/>
      <c r="S1431" s="19" t="n"/>
    </row>
    <row r="1432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19" t="n"/>
      <c r="P1432" s="19" t="n"/>
      <c r="Q1432" s="19" t="n"/>
      <c r="R1432" s="19" t="n"/>
      <c r="S1432" s="19" t="n"/>
    </row>
    <row r="1433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19" t="n"/>
      <c r="P1433" s="19" t="n"/>
      <c r="Q1433" s="19" t="n"/>
      <c r="R1433" s="19" t="n"/>
      <c r="S1433" s="19" t="n"/>
    </row>
    <row r="1434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19" t="n"/>
      <c r="P1434" s="19" t="n"/>
      <c r="Q1434" s="19" t="n"/>
      <c r="R1434" s="19" t="n"/>
      <c r="S1434" s="19" t="n"/>
    </row>
    <row r="1435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19" t="n"/>
      <c r="P1435" s="19" t="n"/>
      <c r="Q1435" s="19" t="n"/>
      <c r="R1435" s="19" t="n"/>
      <c r="S1435" s="19" t="n"/>
    </row>
    <row r="1436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19" t="n"/>
      <c r="P1436" s="19" t="n"/>
      <c r="Q1436" s="19" t="n"/>
      <c r="R1436" s="19" t="n"/>
      <c r="S1436" s="19" t="n"/>
    </row>
    <row r="1437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19" t="n"/>
      <c r="P1437" s="19" t="n"/>
      <c r="Q1437" s="19" t="n"/>
      <c r="R1437" s="19" t="n"/>
      <c r="S1437" s="19" t="n"/>
    </row>
    <row r="1438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19" t="n"/>
      <c r="P1438" s="19" t="n"/>
      <c r="Q1438" s="19" t="n"/>
      <c r="R1438" s="19" t="n"/>
      <c r="S1438" s="19" t="n"/>
    </row>
    <row r="14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19" t="n"/>
      <c r="P1439" s="19" t="n"/>
      <c r="Q1439" s="19" t="n"/>
      <c r="R1439" s="19" t="n"/>
      <c r="S1439" s="19" t="n"/>
    </row>
    <row r="1440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19" t="n"/>
      <c r="P1440" s="19" t="n"/>
      <c r="Q1440" s="19" t="n"/>
      <c r="R1440" s="19" t="n"/>
      <c r="S1440" s="19" t="n"/>
    </row>
    <row r="1441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19" t="n"/>
      <c r="P1441" s="19" t="n"/>
      <c r="Q1441" s="19" t="n"/>
      <c r="R1441" s="19" t="n"/>
      <c r="S1441" s="19" t="n"/>
    </row>
    <row r="1442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19" t="n"/>
      <c r="P1442" s="19" t="n"/>
      <c r="Q1442" s="19" t="n"/>
      <c r="R1442" s="19" t="n"/>
      <c r="S1442" s="19" t="n"/>
    </row>
    <row r="1443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19" t="n"/>
      <c r="P1443" s="19" t="n"/>
      <c r="Q1443" s="19" t="n"/>
      <c r="R1443" s="19" t="n"/>
      <c r="S1443" s="19" t="n"/>
    </row>
    <row r="1444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19" t="n"/>
      <c r="P1444" s="19" t="n"/>
      <c r="Q1444" s="19" t="n"/>
      <c r="R1444" s="19" t="n"/>
      <c r="S1444" s="19" t="n"/>
    </row>
    <row r="1445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19" t="n"/>
      <c r="P1445" s="19" t="n"/>
      <c r="Q1445" s="19" t="n"/>
      <c r="R1445" s="19" t="n"/>
      <c r="S1445" s="19" t="n"/>
    </row>
    <row r="1446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19" t="n"/>
      <c r="P1446" s="19" t="n"/>
      <c r="Q1446" s="19" t="n"/>
      <c r="R1446" s="19" t="n"/>
      <c r="S1446" s="19" t="n"/>
    </row>
    <row r="1447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19" t="n"/>
      <c r="P1447" s="19" t="n"/>
      <c r="Q1447" s="19" t="n"/>
      <c r="R1447" s="19" t="n"/>
      <c r="S1447" s="19" t="n"/>
    </row>
    <row r="1448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19" t="n"/>
      <c r="P1448" s="19" t="n"/>
      <c r="Q1448" s="19" t="n"/>
      <c r="R1448" s="19" t="n"/>
      <c r="S1448" s="19" t="n"/>
    </row>
    <row r="144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19" t="n"/>
      <c r="P1449" s="19" t="n"/>
      <c r="Q1449" s="19" t="n"/>
      <c r="R1449" s="19" t="n"/>
      <c r="S1449" s="19" t="n"/>
    </row>
    <row r="1450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19" t="n"/>
      <c r="P1450" s="19" t="n"/>
      <c r="Q1450" s="19" t="n"/>
      <c r="R1450" s="19" t="n"/>
      <c r="S1450" s="19" t="n"/>
    </row>
    <row r="1451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19" t="n"/>
      <c r="P1451" s="19" t="n"/>
      <c r="Q1451" s="19" t="n"/>
      <c r="R1451" s="19" t="n"/>
      <c r="S1451" s="19" t="n"/>
    </row>
    <row r="1452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19" t="n"/>
      <c r="P1452" s="19" t="n"/>
      <c r="Q1452" s="19" t="n"/>
      <c r="R1452" s="19" t="n"/>
      <c r="S1452" s="19" t="n"/>
    </row>
    <row r="1453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19" t="n"/>
      <c r="P1453" s="19" t="n"/>
      <c r="Q1453" s="19" t="n"/>
      <c r="R1453" s="19" t="n"/>
      <c r="S1453" s="19" t="n"/>
    </row>
    <row r="1454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19" t="n"/>
      <c r="P1454" s="19" t="n"/>
      <c r="Q1454" s="19" t="n"/>
      <c r="R1454" s="19" t="n"/>
      <c r="S1454" s="19" t="n"/>
    </row>
    <row r="1455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19" t="n"/>
      <c r="P1455" s="19" t="n"/>
      <c r="Q1455" s="19" t="n"/>
      <c r="R1455" s="19" t="n"/>
      <c r="S1455" s="19" t="n"/>
    </row>
    <row r="1456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19" t="n"/>
      <c r="P1456" s="19" t="n"/>
      <c r="Q1456" s="19" t="n"/>
      <c r="R1456" s="19" t="n"/>
      <c r="S1456" s="19" t="n"/>
    </row>
    <row r="1457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19" t="n"/>
      <c r="P1457" s="19" t="n"/>
      <c r="Q1457" s="19" t="n"/>
      <c r="R1457" s="19" t="n"/>
      <c r="S1457" s="19" t="n"/>
    </row>
    <row r="1458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19" t="n"/>
      <c r="P1458" s="19" t="n"/>
      <c r="Q1458" s="19" t="n"/>
      <c r="R1458" s="19" t="n"/>
      <c r="S1458" s="19" t="n"/>
    </row>
    <row r="145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19" t="n"/>
      <c r="P1459" s="19" t="n"/>
      <c r="Q1459" s="19" t="n"/>
      <c r="R1459" s="19" t="n"/>
      <c r="S1459" s="19" t="n"/>
    </row>
    <row r="1460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19" t="n"/>
      <c r="P1460" s="19" t="n"/>
      <c r="Q1460" s="19" t="n"/>
      <c r="R1460" s="19" t="n"/>
      <c r="S1460" s="19" t="n"/>
    </row>
    <row r="1461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19" t="n"/>
      <c r="P1461" s="19" t="n"/>
      <c r="Q1461" s="19" t="n"/>
      <c r="R1461" s="19" t="n"/>
      <c r="S1461" s="19" t="n"/>
    </row>
    <row r="1462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19" t="n"/>
      <c r="P1462" s="19" t="n"/>
      <c r="Q1462" s="19" t="n"/>
      <c r="R1462" s="19" t="n"/>
      <c r="S1462" s="19" t="n"/>
    </row>
    <row r="1463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19" t="n"/>
      <c r="P1463" s="19" t="n"/>
      <c r="Q1463" s="19" t="n"/>
      <c r="R1463" s="19" t="n"/>
      <c r="S1463" s="19" t="n"/>
    </row>
    <row r="1464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19" t="n"/>
      <c r="P1464" s="19" t="n"/>
      <c r="Q1464" s="19" t="n"/>
      <c r="R1464" s="19" t="n"/>
      <c r="S1464" s="19" t="n"/>
    </row>
    <row r="1465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19" t="n"/>
      <c r="P1465" s="19" t="n"/>
      <c r="Q1465" s="19" t="n"/>
      <c r="R1465" s="19" t="n"/>
      <c r="S1465" s="19" t="n"/>
    </row>
    <row r="1466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19" t="n"/>
      <c r="P1466" s="19" t="n"/>
      <c r="Q1466" s="19" t="n"/>
      <c r="R1466" s="19" t="n"/>
      <c r="S1466" s="19" t="n"/>
    </row>
    <row r="1467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19" t="n"/>
      <c r="P1467" s="19" t="n"/>
      <c r="Q1467" s="19" t="n"/>
      <c r="R1467" s="19" t="n"/>
      <c r="S1467" s="19" t="n"/>
    </row>
    <row r="1468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19" t="n"/>
      <c r="P1468" s="19" t="n"/>
      <c r="Q1468" s="19" t="n"/>
      <c r="R1468" s="19" t="n"/>
      <c r="S1468" s="19" t="n"/>
    </row>
    <row r="146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19" t="n"/>
      <c r="P1469" s="19" t="n"/>
      <c r="Q1469" s="19" t="n"/>
      <c r="R1469" s="19" t="n"/>
      <c r="S1469" s="19" t="n"/>
    </row>
    <row r="1470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19" t="n"/>
      <c r="P1470" s="19" t="n"/>
      <c r="Q1470" s="19" t="n"/>
      <c r="R1470" s="19" t="n"/>
      <c r="S1470" s="19" t="n"/>
    </row>
    <row r="1471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19" t="n"/>
      <c r="P1471" s="19" t="n"/>
      <c r="Q1471" s="19" t="n"/>
      <c r="R1471" s="19" t="n"/>
      <c r="S1471" s="19" t="n"/>
    </row>
    <row r="1472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19" t="n"/>
      <c r="P1472" s="19" t="n"/>
      <c r="Q1472" s="19" t="n"/>
      <c r="R1472" s="19" t="n"/>
      <c r="S1472" s="19" t="n"/>
    </row>
    <row r="1473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19" t="n"/>
      <c r="P1473" s="19" t="n"/>
      <c r="Q1473" s="19" t="n"/>
      <c r="R1473" s="19" t="n"/>
      <c r="S1473" s="19" t="n"/>
    </row>
    <row r="1474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19" t="n"/>
      <c r="P1474" s="19" t="n"/>
      <c r="Q1474" s="19" t="n"/>
      <c r="R1474" s="19" t="n"/>
      <c r="S1474" s="19" t="n"/>
    </row>
    <row r="1475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19" t="n"/>
      <c r="P1475" s="19" t="n"/>
      <c r="Q1475" s="19" t="n"/>
      <c r="R1475" s="19" t="n"/>
      <c r="S1475" s="19" t="n"/>
    </row>
    <row r="1476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19" t="n"/>
      <c r="P1476" s="19" t="n"/>
      <c r="Q1476" s="19" t="n"/>
      <c r="R1476" s="19" t="n"/>
      <c r="S1476" s="19" t="n"/>
    </row>
    <row r="1477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19" t="n"/>
      <c r="P1477" s="19" t="n"/>
      <c r="Q1477" s="19" t="n"/>
      <c r="R1477" s="19" t="n"/>
      <c r="S1477" s="19" t="n"/>
    </row>
    <row r="1478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19" t="n"/>
      <c r="P1478" s="19" t="n"/>
      <c r="Q1478" s="19" t="n"/>
      <c r="R1478" s="19" t="n"/>
      <c r="S1478" s="19" t="n"/>
    </row>
    <row r="147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19" t="n"/>
      <c r="P1479" s="19" t="n"/>
      <c r="Q1479" s="19" t="n"/>
      <c r="R1479" s="19" t="n"/>
      <c r="S1479" s="19" t="n"/>
    </row>
    <row r="1480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19" t="n"/>
      <c r="P1480" s="19" t="n"/>
      <c r="Q1480" s="19" t="n"/>
      <c r="R1480" s="19" t="n"/>
      <c r="S1480" s="19" t="n"/>
    </row>
    <row r="1481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19" t="n"/>
      <c r="P1481" s="19" t="n"/>
      <c r="Q1481" s="19" t="n"/>
      <c r="R1481" s="19" t="n"/>
      <c r="S1481" s="19" t="n"/>
    </row>
    <row r="1482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19" t="n"/>
      <c r="P1482" s="19" t="n"/>
      <c r="Q1482" s="19" t="n"/>
      <c r="R1482" s="19" t="n"/>
      <c r="S1482" s="19" t="n"/>
    </row>
    <row r="1483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19" t="n"/>
      <c r="P1483" s="19" t="n"/>
      <c r="Q1483" s="19" t="n"/>
      <c r="R1483" s="19" t="n"/>
      <c r="S1483" s="19" t="n"/>
    </row>
    <row r="1484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19" t="n"/>
      <c r="P1484" s="19" t="n"/>
      <c r="Q1484" s="19" t="n"/>
      <c r="R1484" s="19" t="n"/>
      <c r="S1484" s="19" t="n"/>
    </row>
    <row r="1485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19" t="n"/>
      <c r="P1485" s="19" t="n"/>
      <c r="Q1485" s="19" t="n"/>
      <c r="R1485" s="19" t="n"/>
      <c r="S1485" s="19" t="n"/>
    </row>
    <row r="1486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19" t="n"/>
      <c r="P1486" s="19" t="n"/>
      <c r="Q1486" s="19" t="n"/>
      <c r="R1486" s="19" t="n"/>
      <c r="S1486" s="19" t="n"/>
    </row>
    <row r="1487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19" t="n"/>
      <c r="P1487" s="19" t="n"/>
      <c r="Q1487" s="19" t="n"/>
      <c r="R1487" s="19" t="n"/>
      <c r="S1487" s="19" t="n"/>
    </row>
    <row r="1488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19" t="n"/>
      <c r="P1488" s="19" t="n"/>
      <c r="Q1488" s="19" t="n"/>
      <c r="R1488" s="19" t="n"/>
      <c r="S1488" s="19" t="n"/>
    </row>
    <row r="148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19" t="n"/>
      <c r="P1489" s="19" t="n"/>
      <c r="Q1489" s="19" t="n"/>
      <c r="R1489" s="19" t="n"/>
      <c r="S1489" s="19" t="n"/>
    </row>
    <row r="1490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19" t="n"/>
      <c r="P1490" s="19" t="n"/>
      <c r="Q1490" s="19" t="n"/>
      <c r="R1490" s="19" t="n"/>
      <c r="S1490" s="19" t="n"/>
    </row>
    <row r="1491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19" t="n"/>
      <c r="P1491" s="19" t="n"/>
      <c r="Q1491" s="19" t="n"/>
      <c r="R1491" s="19" t="n"/>
      <c r="S1491" s="19" t="n"/>
    </row>
    <row r="1492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19" t="n"/>
      <c r="P1492" s="19" t="n"/>
      <c r="Q1492" s="19" t="n"/>
      <c r="R1492" s="19" t="n"/>
      <c r="S1492" s="19" t="n"/>
    </row>
    <row r="1493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19" t="n"/>
      <c r="P1493" s="19" t="n"/>
      <c r="Q1493" s="19" t="n"/>
      <c r="R1493" s="19" t="n"/>
      <c r="S1493" s="19" t="n"/>
    </row>
    <row r="1494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19" t="n"/>
      <c r="P1494" s="19" t="n"/>
      <c r="Q1494" s="19" t="n"/>
      <c r="R1494" s="19" t="n"/>
      <c r="S1494" s="19" t="n"/>
    </row>
    <row r="1495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19" t="n"/>
      <c r="P1495" s="19" t="n"/>
      <c r="Q1495" s="19" t="n"/>
      <c r="R1495" s="19" t="n"/>
      <c r="S1495" s="19" t="n"/>
    </row>
    <row r="1496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19" t="n"/>
      <c r="P1496" s="19" t="n"/>
      <c r="Q1496" s="19" t="n"/>
      <c r="R1496" s="19" t="n"/>
      <c r="S1496" s="19" t="n"/>
    </row>
    <row r="1497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19" t="n"/>
      <c r="P1497" s="19" t="n"/>
      <c r="Q1497" s="19" t="n"/>
      <c r="R1497" s="19" t="n"/>
      <c r="S1497" s="19" t="n"/>
    </row>
    <row r="1498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19" t="n"/>
      <c r="P1498" s="19" t="n"/>
      <c r="Q1498" s="19" t="n"/>
      <c r="R1498" s="19" t="n"/>
      <c r="S1498" s="19" t="n"/>
    </row>
    <row r="1499">
      <c r="A1499" s="19" t="n"/>
      <c r="B1499" s="19" t="n"/>
      <c r="C1499" s="19" t="n"/>
      <c r="D1499" s="19" t="n"/>
      <c r="E1499" s="19" t="n"/>
      <c r="F1499" s="19" t="n"/>
      <c r="G1499" s="19" t="n"/>
      <c r="H1499" s="19" t="n"/>
      <c r="I1499" s="19" t="n"/>
      <c r="J1499" s="19" t="n"/>
      <c r="K1499" s="19" t="n"/>
      <c r="L1499" s="19" t="n"/>
      <c r="M1499" s="19" t="n"/>
      <c r="N1499" s="19" t="n"/>
      <c r="O1499" s="19" t="n"/>
      <c r="P1499" s="19" t="n"/>
      <c r="Q1499" s="19" t="n"/>
      <c r="R1499" s="19" t="n"/>
      <c r="S1499" s="19" t="n"/>
    </row>
    <row r="1500">
      <c r="A1500" s="19" t="n"/>
      <c r="B1500" s="19" t="n"/>
      <c r="C1500" s="19" t="n"/>
      <c r="D1500" s="19" t="n"/>
      <c r="E1500" s="19" t="n"/>
      <c r="F1500" s="19" t="n"/>
      <c r="G1500" s="19" t="n"/>
      <c r="H1500" s="19" t="n"/>
      <c r="I1500" s="19" t="n"/>
      <c r="J1500" s="19" t="n"/>
      <c r="K1500" s="19" t="n"/>
      <c r="L1500" s="19" t="n"/>
      <c r="M1500" s="19" t="n"/>
      <c r="N1500" s="19" t="n"/>
      <c r="O1500" s="19" t="n"/>
      <c r="P1500" s="19" t="n"/>
      <c r="Q1500" s="19" t="n"/>
      <c r="R1500" s="19" t="n"/>
      <c r="S1500" s="19" t="n"/>
    </row>
    <row r="1501">
      <c r="A1501" s="19" t="n"/>
      <c r="B1501" s="19" t="n"/>
      <c r="C1501" s="19" t="n"/>
      <c r="D1501" s="19" t="n"/>
      <c r="E1501" s="19" t="n"/>
      <c r="F1501" s="19" t="n"/>
      <c r="G1501" s="19" t="n"/>
      <c r="H1501" s="19" t="n"/>
      <c r="I1501" s="19" t="n"/>
      <c r="J1501" s="19" t="n"/>
      <c r="K1501" s="19" t="n"/>
      <c r="L1501" s="19" t="n"/>
      <c r="M1501" s="19" t="n"/>
      <c r="N1501" s="19" t="n"/>
      <c r="O1501" s="19" t="n"/>
      <c r="P1501" s="19" t="n"/>
      <c r="Q1501" s="19" t="n"/>
      <c r="R1501" s="19" t="n"/>
      <c r="S1501" s="19" t="n"/>
    </row>
    <row r="1502">
      <c r="A1502" s="19" t="n"/>
      <c r="B1502" s="19" t="n"/>
      <c r="C1502" s="19" t="n"/>
      <c r="D1502" s="19" t="n"/>
      <c r="E1502" s="19" t="n"/>
      <c r="F1502" s="19" t="n"/>
      <c r="G1502" s="19" t="n"/>
      <c r="H1502" s="19" t="n"/>
      <c r="I1502" s="19" t="n"/>
      <c r="J1502" s="19" t="n"/>
      <c r="K1502" s="19" t="n"/>
      <c r="L1502" s="19" t="n"/>
      <c r="M1502" s="19" t="n"/>
      <c r="N1502" s="19" t="n"/>
      <c r="O1502" s="19" t="n"/>
      <c r="P1502" s="19" t="n"/>
      <c r="Q1502" s="19" t="n"/>
      <c r="R1502" s="19" t="n"/>
      <c r="S1502" s="19" t="n"/>
    </row>
    <row r="1503">
      <c r="A1503" s="19" t="n"/>
      <c r="B1503" s="19" t="n"/>
      <c r="C1503" s="19" t="n"/>
      <c r="D1503" s="19" t="n"/>
      <c r="E1503" s="19" t="n"/>
      <c r="F1503" s="19" t="n"/>
      <c r="G1503" s="19" t="n"/>
      <c r="H1503" s="19" t="n"/>
      <c r="I1503" s="19" t="n"/>
      <c r="J1503" s="19" t="n"/>
      <c r="K1503" s="19" t="n"/>
      <c r="L1503" s="19" t="n"/>
      <c r="M1503" s="19" t="n"/>
      <c r="N1503" s="19" t="n"/>
      <c r="O1503" s="19" t="n"/>
      <c r="P1503" s="19" t="n"/>
      <c r="Q1503" s="19" t="n"/>
      <c r="R1503" s="19" t="n"/>
      <c r="S1503" s="19" t="n"/>
    </row>
    <row r="1504">
      <c r="A1504" s="19" t="n"/>
      <c r="B1504" s="19" t="n"/>
      <c r="C1504" s="19" t="n"/>
      <c r="D1504" s="19" t="n"/>
      <c r="E1504" s="19" t="n"/>
      <c r="F1504" s="19" t="n"/>
      <c r="G1504" s="19" t="n"/>
      <c r="H1504" s="19" t="n"/>
      <c r="I1504" s="19" t="n"/>
      <c r="J1504" s="19" t="n"/>
      <c r="K1504" s="19" t="n"/>
      <c r="L1504" s="19" t="n"/>
      <c r="M1504" s="19" t="n"/>
      <c r="N1504" s="19" t="n"/>
      <c r="O1504" s="19" t="n"/>
      <c r="P1504" s="19" t="n"/>
      <c r="Q1504" s="19" t="n"/>
      <c r="R1504" s="19" t="n"/>
      <c r="S1504" s="19" t="n"/>
    </row>
    <row r="1505">
      <c r="A1505" s="19" t="n"/>
      <c r="B1505" s="19" t="n"/>
      <c r="C1505" s="19" t="n"/>
      <c r="D1505" s="19" t="n"/>
      <c r="E1505" s="19" t="n"/>
      <c r="F1505" s="19" t="n"/>
      <c r="G1505" s="19" t="n"/>
      <c r="H1505" s="19" t="n"/>
      <c r="I1505" s="19" t="n"/>
      <c r="J1505" s="19" t="n"/>
      <c r="K1505" s="19" t="n"/>
      <c r="L1505" s="19" t="n"/>
      <c r="M1505" s="19" t="n"/>
      <c r="N1505" s="19" t="n"/>
      <c r="O1505" s="19" t="n"/>
      <c r="P1505" s="19" t="n"/>
      <c r="Q1505" s="19" t="n"/>
      <c r="R1505" s="19" t="n"/>
      <c r="S1505" s="19" t="n"/>
    </row>
    <row r="1506">
      <c r="A1506" s="19" t="n"/>
      <c r="B1506" s="19" t="n"/>
      <c r="C1506" s="19" t="n"/>
      <c r="D1506" s="19" t="n"/>
      <c r="E1506" s="19" t="n"/>
      <c r="F1506" s="19" t="n"/>
      <c r="G1506" s="19" t="n"/>
      <c r="H1506" s="19" t="n"/>
      <c r="I1506" s="19" t="n"/>
      <c r="J1506" s="19" t="n"/>
      <c r="K1506" s="19" t="n"/>
      <c r="L1506" s="19" t="n"/>
      <c r="M1506" s="19" t="n"/>
      <c r="N1506" s="19" t="n"/>
      <c r="O1506" s="19" t="n"/>
      <c r="P1506" s="19" t="n"/>
      <c r="Q1506" s="19" t="n"/>
      <c r="R1506" s="19" t="n"/>
      <c r="S1506" s="19" t="n"/>
    </row>
    <row r="1507">
      <c r="A1507" s="19" t="n"/>
      <c r="B1507" s="19" t="n"/>
      <c r="C1507" s="19" t="n"/>
      <c r="D1507" s="19" t="n"/>
      <c r="E1507" s="19" t="n"/>
      <c r="F1507" s="19" t="n"/>
      <c r="G1507" s="19" t="n"/>
      <c r="H1507" s="19" t="n"/>
      <c r="I1507" s="19" t="n"/>
      <c r="J1507" s="19" t="n"/>
      <c r="K1507" s="19" t="n"/>
      <c r="L1507" s="19" t="n"/>
      <c r="M1507" s="19" t="n"/>
      <c r="N1507" s="19" t="n"/>
      <c r="O1507" s="19" t="n"/>
      <c r="P1507" s="19" t="n"/>
      <c r="Q1507" s="19" t="n"/>
      <c r="R1507" s="19" t="n"/>
      <c r="S1507" s="19" t="n"/>
    </row>
    <row r="1508">
      <c r="A1508" s="19" t="n"/>
      <c r="B1508" s="19" t="n"/>
      <c r="C1508" s="19" t="n"/>
      <c r="D1508" s="19" t="n"/>
      <c r="E1508" s="19" t="n"/>
      <c r="F1508" s="19" t="n"/>
      <c r="G1508" s="19" t="n"/>
      <c r="H1508" s="19" t="n"/>
      <c r="I1508" s="19" t="n"/>
      <c r="J1508" s="19" t="n"/>
      <c r="K1508" s="19" t="n"/>
      <c r="L1508" s="19" t="n"/>
      <c r="M1508" s="19" t="n"/>
      <c r="N1508" s="19" t="n"/>
      <c r="O1508" s="19" t="n"/>
      <c r="P1508" s="19" t="n"/>
      <c r="Q1508" s="19" t="n"/>
      <c r="R1508" s="19" t="n"/>
      <c r="S1508" s="19" t="n"/>
    </row>
    <row r="1509">
      <c r="A1509" s="19" t="n"/>
      <c r="B1509" s="19" t="n"/>
      <c r="C1509" s="19" t="n"/>
      <c r="D1509" s="19" t="n"/>
      <c r="E1509" s="19" t="n"/>
      <c r="F1509" s="19" t="n"/>
      <c r="G1509" s="19" t="n"/>
      <c r="H1509" s="19" t="n"/>
      <c r="I1509" s="19" t="n"/>
      <c r="J1509" s="19" t="n"/>
      <c r="K1509" s="19" t="n"/>
      <c r="L1509" s="19" t="n"/>
      <c r="M1509" s="19" t="n"/>
      <c r="N1509" s="19" t="n"/>
      <c r="O1509" s="19" t="n"/>
      <c r="P1509" s="19" t="n"/>
      <c r="Q1509" s="19" t="n"/>
      <c r="R1509" s="19" t="n"/>
      <c r="S1509" s="19" t="n"/>
    </row>
    <row r="1510">
      <c r="A1510" s="19" t="n"/>
      <c r="B1510" s="19" t="n"/>
      <c r="C1510" s="19" t="n"/>
      <c r="D1510" s="19" t="n"/>
      <c r="E1510" s="19" t="n"/>
      <c r="F1510" s="19" t="n"/>
      <c r="G1510" s="19" t="n"/>
      <c r="H1510" s="19" t="n"/>
      <c r="I1510" s="19" t="n"/>
      <c r="J1510" s="19" t="n"/>
      <c r="K1510" s="19" t="n"/>
      <c r="L1510" s="19" t="n"/>
      <c r="M1510" s="19" t="n"/>
      <c r="N1510" s="19" t="n"/>
      <c r="O1510" s="19" t="n"/>
      <c r="P1510" s="19" t="n"/>
      <c r="Q1510" s="19" t="n"/>
      <c r="R1510" s="19" t="n"/>
      <c r="S1510" s="19" t="n"/>
    </row>
    <row r="1511">
      <c r="A1511" s="19" t="n"/>
      <c r="B1511" s="19" t="n"/>
      <c r="C1511" s="19" t="n"/>
      <c r="D1511" s="19" t="n"/>
      <c r="E1511" s="19" t="n"/>
      <c r="F1511" s="19" t="n"/>
      <c r="G1511" s="19" t="n"/>
      <c r="H1511" s="19" t="n"/>
      <c r="I1511" s="19" t="n"/>
      <c r="J1511" s="19" t="n"/>
      <c r="K1511" s="19" t="n"/>
      <c r="L1511" s="19" t="n"/>
      <c r="M1511" s="19" t="n"/>
      <c r="N1511" s="19" t="n"/>
      <c r="O1511" s="19" t="n"/>
      <c r="P1511" s="19" t="n"/>
      <c r="Q1511" s="19" t="n"/>
      <c r="R1511" s="19" t="n"/>
      <c r="S1511" s="19" t="n"/>
    </row>
    <row r="1512">
      <c r="A1512" s="19" t="n"/>
      <c r="B1512" s="19" t="n"/>
      <c r="C1512" s="19" t="n"/>
      <c r="D1512" s="19" t="n"/>
      <c r="E1512" s="19" t="n"/>
      <c r="F1512" s="19" t="n"/>
      <c r="G1512" s="19" t="n"/>
      <c r="H1512" s="19" t="n"/>
      <c r="I1512" s="19" t="n"/>
      <c r="J1512" s="19" t="n"/>
      <c r="K1512" s="19" t="n"/>
      <c r="L1512" s="19" t="n"/>
      <c r="M1512" s="19" t="n"/>
      <c r="N1512" s="19" t="n"/>
      <c r="O1512" s="19" t="n"/>
      <c r="P1512" s="19" t="n"/>
      <c r="Q1512" s="19" t="n"/>
      <c r="R1512" s="19" t="n"/>
      <c r="S1512" s="19" t="n"/>
    </row>
    <row r="1513">
      <c r="A1513" s="19" t="n"/>
      <c r="B1513" s="19" t="n"/>
      <c r="C1513" s="19" t="n"/>
      <c r="D1513" s="19" t="n"/>
      <c r="E1513" s="19" t="n"/>
      <c r="F1513" s="19" t="n"/>
      <c r="G1513" s="19" t="n"/>
      <c r="H1513" s="19" t="n"/>
      <c r="I1513" s="19" t="n"/>
      <c r="J1513" s="19" t="n"/>
      <c r="K1513" s="19" t="n"/>
      <c r="L1513" s="19" t="n"/>
      <c r="M1513" s="19" t="n"/>
      <c r="N1513" s="19" t="n"/>
      <c r="O1513" s="19" t="n"/>
      <c r="P1513" s="19" t="n"/>
      <c r="Q1513" s="19" t="n"/>
      <c r="R1513" s="19" t="n"/>
      <c r="S1513" s="19" t="n"/>
    </row>
    <row r="1514">
      <c r="A1514" s="19" t="n"/>
      <c r="B1514" s="19" t="n"/>
      <c r="C1514" s="19" t="n"/>
      <c r="D1514" s="19" t="n"/>
      <c r="E1514" s="19" t="n"/>
      <c r="F1514" s="19" t="n"/>
      <c r="G1514" s="19" t="n"/>
      <c r="H1514" s="19" t="n"/>
      <c r="I1514" s="19" t="n"/>
      <c r="J1514" s="19" t="n"/>
      <c r="K1514" s="19" t="n"/>
      <c r="L1514" s="19" t="n"/>
      <c r="M1514" s="19" t="n"/>
      <c r="N1514" s="19" t="n"/>
      <c r="O1514" s="19" t="n"/>
      <c r="P1514" s="19" t="n"/>
      <c r="Q1514" s="19" t="n"/>
      <c r="R1514" s="19" t="n"/>
      <c r="S1514" s="19" t="n"/>
    </row>
    <row r="1515">
      <c r="A1515" s="19" t="n"/>
      <c r="B1515" s="19" t="n"/>
      <c r="C1515" s="19" t="n"/>
      <c r="D1515" s="19" t="n"/>
      <c r="E1515" s="19" t="n"/>
      <c r="F1515" s="19" t="n"/>
      <c r="G1515" s="19" t="n"/>
      <c r="H1515" s="19" t="n"/>
      <c r="I1515" s="19" t="n"/>
      <c r="J1515" s="19" t="n"/>
      <c r="K1515" s="19" t="n"/>
      <c r="L1515" s="19" t="n"/>
      <c r="M1515" s="19" t="n"/>
      <c r="N1515" s="19" t="n"/>
      <c r="O1515" s="19" t="n"/>
      <c r="P1515" s="19" t="n"/>
      <c r="Q1515" s="19" t="n"/>
      <c r="R1515" s="19" t="n"/>
      <c r="S1515" s="19" t="n"/>
    </row>
    <row r="1516">
      <c r="A1516" s="19" t="n"/>
      <c r="B1516" s="19" t="n"/>
      <c r="C1516" s="19" t="n"/>
      <c r="D1516" s="19" t="n"/>
      <c r="E1516" s="19" t="n"/>
      <c r="F1516" s="19" t="n"/>
      <c r="G1516" s="19" t="n"/>
      <c r="H1516" s="19" t="n"/>
      <c r="I1516" s="19" t="n"/>
      <c r="J1516" s="19" t="n"/>
      <c r="K1516" s="19" t="n"/>
      <c r="L1516" s="19" t="n"/>
      <c r="M1516" s="19" t="n"/>
      <c r="N1516" s="19" t="n"/>
      <c r="O1516" s="19" t="n"/>
      <c r="P1516" s="19" t="n"/>
      <c r="Q1516" s="19" t="n"/>
      <c r="R1516" s="19" t="n"/>
      <c r="S1516" s="19" t="n"/>
    </row>
    <row r="1517">
      <c r="A1517" s="19" t="n"/>
      <c r="B1517" s="19" t="n"/>
      <c r="C1517" s="19" t="n"/>
      <c r="D1517" s="19" t="n"/>
      <c r="E1517" s="19" t="n"/>
      <c r="F1517" s="19" t="n"/>
      <c r="G1517" s="19" t="n"/>
      <c r="H1517" s="19" t="n"/>
      <c r="I1517" s="19" t="n"/>
      <c r="J1517" s="19" t="n"/>
      <c r="K1517" s="19" t="n"/>
      <c r="L1517" s="19" t="n"/>
      <c r="M1517" s="19" t="n"/>
      <c r="N1517" s="19" t="n"/>
      <c r="O1517" s="19" t="n"/>
      <c r="P1517" s="19" t="n"/>
      <c r="Q1517" s="19" t="n"/>
      <c r="R1517" s="19" t="n"/>
      <c r="S1517" s="19" t="n"/>
    </row>
    <row r="1518">
      <c r="A1518" s="19" t="n"/>
      <c r="B1518" s="19" t="n"/>
      <c r="C1518" s="19" t="n"/>
      <c r="D1518" s="19" t="n"/>
      <c r="E1518" s="19" t="n"/>
      <c r="F1518" s="19" t="n"/>
      <c r="G1518" s="19" t="n"/>
      <c r="H1518" s="19" t="n"/>
      <c r="I1518" s="19" t="n"/>
      <c r="J1518" s="19" t="n"/>
      <c r="K1518" s="19" t="n"/>
      <c r="L1518" s="19" t="n"/>
      <c r="M1518" s="19" t="n"/>
      <c r="N1518" s="19" t="n"/>
      <c r="O1518" s="19" t="n"/>
      <c r="P1518" s="19" t="n"/>
      <c r="Q1518" s="19" t="n"/>
      <c r="R1518" s="19" t="n"/>
      <c r="S1518" s="19" t="n"/>
    </row>
    <row r="1519">
      <c r="A1519" s="19" t="n"/>
      <c r="B1519" s="19" t="n"/>
      <c r="C1519" s="19" t="n"/>
      <c r="D1519" s="19" t="n"/>
      <c r="E1519" s="19" t="n"/>
      <c r="F1519" s="19" t="n"/>
      <c r="G1519" s="19" t="n"/>
      <c r="H1519" s="19" t="n"/>
      <c r="I1519" s="19" t="n"/>
      <c r="J1519" s="19" t="n"/>
      <c r="K1519" s="19" t="n"/>
      <c r="L1519" s="19" t="n"/>
      <c r="M1519" s="19" t="n"/>
      <c r="N1519" s="19" t="n"/>
      <c r="O1519" s="19" t="n"/>
      <c r="P1519" s="19" t="n"/>
      <c r="Q1519" s="19" t="n"/>
      <c r="R1519" s="19" t="n"/>
      <c r="S1519" s="19" t="n"/>
    </row>
    <row r="1520">
      <c r="A1520" s="19" t="n"/>
      <c r="B1520" s="19" t="n"/>
      <c r="C1520" s="19" t="n"/>
      <c r="D1520" s="19" t="n"/>
      <c r="E1520" s="19" t="n"/>
      <c r="F1520" s="19" t="n"/>
      <c r="G1520" s="19" t="n"/>
      <c r="H1520" s="19" t="n"/>
      <c r="I1520" s="19" t="n"/>
      <c r="J1520" s="19" t="n"/>
      <c r="K1520" s="19" t="n"/>
      <c r="L1520" s="19" t="n"/>
      <c r="M1520" s="19" t="n"/>
      <c r="N1520" s="19" t="n"/>
      <c r="O1520" s="19" t="n"/>
      <c r="P1520" s="19" t="n"/>
      <c r="Q1520" s="19" t="n"/>
      <c r="R1520" s="19" t="n"/>
      <c r="S1520" s="19" t="n"/>
    </row>
    <row r="1521">
      <c r="A1521" s="19" t="n"/>
      <c r="B1521" s="19" t="n"/>
      <c r="C1521" s="19" t="n"/>
      <c r="D1521" s="19" t="n"/>
      <c r="E1521" s="19" t="n"/>
      <c r="F1521" s="19" t="n"/>
      <c r="G1521" s="19" t="n"/>
      <c r="H1521" s="19" t="n"/>
      <c r="I1521" s="19" t="n"/>
      <c r="J1521" s="19" t="n"/>
      <c r="K1521" s="19" t="n"/>
      <c r="L1521" s="19" t="n"/>
      <c r="M1521" s="19" t="n"/>
      <c r="N1521" s="19" t="n"/>
      <c r="O1521" s="19" t="n"/>
      <c r="P1521" s="19" t="n"/>
      <c r="Q1521" s="19" t="n"/>
      <c r="R1521" s="19" t="n"/>
      <c r="S1521" s="19" t="n"/>
    </row>
    <row r="1522">
      <c r="A1522" s="19" t="n"/>
      <c r="B1522" s="19" t="n"/>
      <c r="C1522" s="19" t="n"/>
      <c r="D1522" s="19" t="n"/>
      <c r="E1522" s="19" t="n"/>
      <c r="F1522" s="19" t="n"/>
      <c r="G1522" s="19" t="n"/>
      <c r="H1522" s="19" t="n"/>
      <c r="I1522" s="19" t="n"/>
      <c r="J1522" s="19" t="n"/>
      <c r="K1522" s="19" t="n"/>
      <c r="L1522" s="19" t="n"/>
      <c r="M1522" s="19" t="n"/>
      <c r="N1522" s="19" t="n"/>
      <c r="O1522" s="19" t="n"/>
      <c r="P1522" s="19" t="n"/>
      <c r="Q1522" s="19" t="n"/>
      <c r="R1522" s="19" t="n"/>
      <c r="S1522" s="19" t="n"/>
    </row>
    <row r="1523">
      <c r="A1523" s="19" t="n"/>
      <c r="B1523" s="19" t="n"/>
      <c r="C1523" s="19" t="n"/>
      <c r="D1523" s="19" t="n"/>
      <c r="E1523" s="19" t="n"/>
      <c r="F1523" s="19" t="n"/>
      <c r="G1523" s="19" t="n"/>
      <c r="H1523" s="19" t="n"/>
      <c r="I1523" s="19" t="n"/>
      <c r="J1523" s="19" t="n"/>
      <c r="K1523" s="19" t="n"/>
      <c r="L1523" s="19" t="n"/>
      <c r="M1523" s="19" t="n"/>
      <c r="N1523" s="19" t="n"/>
      <c r="O1523" s="19" t="n"/>
      <c r="P1523" s="19" t="n"/>
      <c r="Q1523" s="19" t="n"/>
      <c r="R1523" s="19" t="n"/>
      <c r="S1523" s="19" t="n"/>
    </row>
    <row r="1524">
      <c r="A1524" s="19" t="n"/>
      <c r="B1524" s="19" t="n"/>
      <c r="C1524" s="19" t="n"/>
      <c r="D1524" s="19" t="n"/>
      <c r="E1524" s="19" t="n"/>
      <c r="F1524" s="19" t="n"/>
      <c r="G1524" s="19" t="n"/>
      <c r="H1524" s="19" t="n"/>
      <c r="I1524" s="19" t="n"/>
      <c r="J1524" s="19" t="n"/>
      <c r="K1524" s="19" t="n"/>
      <c r="L1524" s="19" t="n"/>
      <c r="M1524" s="19" t="n"/>
      <c r="N1524" s="19" t="n"/>
      <c r="O1524" s="19" t="n"/>
      <c r="P1524" s="19" t="n"/>
      <c r="Q1524" s="19" t="n"/>
      <c r="R1524" s="19" t="n"/>
      <c r="S1524" s="19" t="n"/>
    </row>
    <row r="1525">
      <c r="A1525" s="19" t="n"/>
      <c r="B1525" s="19" t="n"/>
      <c r="C1525" s="19" t="n"/>
      <c r="D1525" s="19" t="n"/>
      <c r="E1525" s="19" t="n"/>
      <c r="F1525" s="19" t="n"/>
      <c r="G1525" s="19" t="n"/>
      <c r="H1525" s="19" t="n"/>
      <c r="I1525" s="19" t="n"/>
      <c r="J1525" s="19" t="n"/>
      <c r="K1525" s="19" t="n"/>
      <c r="L1525" s="19" t="n"/>
      <c r="M1525" s="19" t="n"/>
      <c r="N1525" s="19" t="n"/>
      <c r="O1525" s="19" t="n"/>
      <c r="P1525" s="19" t="n"/>
      <c r="Q1525" s="19" t="n"/>
      <c r="R1525" s="19" t="n"/>
      <c r="S1525" s="19" t="n"/>
    </row>
    <row r="1526">
      <c r="A1526" s="19" t="n"/>
      <c r="B1526" s="19" t="n"/>
      <c r="C1526" s="19" t="n"/>
      <c r="D1526" s="19" t="n"/>
      <c r="E1526" s="19" t="n"/>
      <c r="F1526" s="19" t="n"/>
      <c r="G1526" s="19" t="n"/>
      <c r="H1526" s="19" t="n"/>
      <c r="I1526" s="19" t="n"/>
      <c r="J1526" s="19" t="n"/>
      <c r="K1526" s="19" t="n"/>
      <c r="L1526" s="19" t="n"/>
      <c r="M1526" s="19" t="n"/>
      <c r="N1526" s="19" t="n"/>
      <c r="O1526" s="19" t="n"/>
      <c r="P1526" s="19" t="n"/>
      <c r="Q1526" s="19" t="n"/>
      <c r="R1526" s="19" t="n"/>
      <c r="S1526" s="19" t="n"/>
    </row>
    <row r="1527">
      <c r="A1527" s="19" t="n"/>
      <c r="B1527" s="19" t="n"/>
      <c r="C1527" s="19" t="n"/>
      <c r="D1527" s="19" t="n"/>
      <c r="E1527" s="19" t="n"/>
      <c r="F1527" s="19" t="n"/>
      <c r="G1527" s="19" t="n"/>
      <c r="H1527" s="19" t="n"/>
      <c r="I1527" s="19" t="n"/>
      <c r="J1527" s="19" t="n"/>
      <c r="K1527" s="19" t="n"/>
      <c r="L1527" s="19" t="n"/>
      <c r="M1527" s="19" t="n"/>
      <c r="N1527" s="19" t="n"/>
      <c r="O1527" s="19" t="n"/>
      <c r="P1527" s="19" t="n"/>
      <c r="Q1527" s="19" t="n"/>
      <c r="R1527" s="19" t="n"/>
      <c r="S1527" s="19" t="n"/>
    </row>
    <row r="1528">
      <c r="A1528" s="19" t="n"/>
      <c r="B1528" s="19" t="n"/>
      <c r="C1528" s="19" t="n"/>
      <c r="D1528" s="19" t="n"/>
      <c r="E1528" s="19" t="n"/>
      <c r="F1528" s="19" t="n"/>
      <c r="G1528" s="19" t="n"/>
      <c r="H1528" s="19" t="n"/>
      <c r="I1528" s="19" t="n"/>
      <c r="J1528" s="19" t="n"/>
      <c r="K1528" s="19" t="n"/>
      <c r="L1528" s="19" t="n"/>
      <c r="M1528" s="19" t="n"/>
      <c r="N1528" s="19" t="n"/>
      <c r="O1528" s="19" t="n"/>
      <c r="P1528" s="19" t="n"/>
      <c r="Q1528" s="19" t="n"/>
      <c r="R1528" s="19" t="n"/>
      <c r="S1528" s="19" t="n"/>
    </row>
    <row r="1529">
      <c r="A1529" s="19" t="n"/>
      <c r="B1529" s="19" t="n"/>
      <c r="C1529" s="19" t="n"/>
      <c r="D1529" s="19" t="n"/>
      <c r="E1529" s="19" t="n"/>
      <c r="F1529" s="19" t="n"/>
      <c r="G1529" s="19" t="n"/>
      <c r="H1529" s="19" t="n"/>
      <c r="I1529" s="19" t="n"/>
      <c r="J1529" s="19" t="n"/>
      <c r="K1529" s="19" t="n"/>
      <c r="L1529" s="19" t="n"/>
      <c r="M1529" s="19" t="n"/>
      <c r="N1529" s="19" t="n"/>
      <c r="O1529" s="19" t="n"/>
      <c r="P1529" s="19" t="n"/>
      <c r="Q1529" s="19" t="n"/>
      <c r="R1529" s="19" t="n"/>
      <c r="S1529" s="19" t="n"/>
    </row>
    <row r="1530">
      <c r="A1530" s="19" t="n"/>
      <c r="B1530" s="19" t="n"/>
      <c r="C1530" s="19" t="n"/>
      <c r="D1530" s="19" t="n"/>
      <c r="E1530" s="19" t="n"/>
      <c r="F1530" s="19" t="n"/>
      <c r="G1530" s="19" t="n"/>
      <c r="H1530" s="19" t="n"/>
      <c r="I1530" s="19" t="n"/>
      <c r="J1530" s="19" t="n"/>
      <c r="K1530" s="19" t="n"/>
      <c r="L1530" s="19" t="n"/>
      <c r="M1530" s="19" t="n"/>
      <c r="N1530" s="19" t="n"/>
      <c r="O1530" s="19" t="n"/>
      <c r="P1530" s="19" t="n"/>
      <c r="Q1530" s="19" t="n"/>
      <c r="R1530" s="19" t="n"/>
      <c r="S1530" s="19" t="n"/>
    </row>
    <row r="1531">
      <c r="A1531" s="19" t="n"/>
      <c r="B1531" s="19" t="n"/>
      <c r="C1531" s="19" t="n"/>
      <c r="D1531" s="19" t="n"/>
      <c r="E1531" s="19" t="n"/>
      <c r="F1531" s="19" t="n"/>
      <c r="G1531" s="19" t="n"/>
      <c r="H1531" s="19" t="n"/>
      <c r="I1531" s="19" t="n"/>
      <c r="J1531" s="19" t="n"/>
      <c r="K1531" s="19" t="n"/>
      <c r="L1531" s="19" t="n"/>
      <c r="M1531" s="19" t="n"/>
      <c r="N1531" s="19" t="n"/>
      <c r="O1531" s="19" t="n"/>
      <c r="P1531" s="19" t="n"/>
      <c r="Q1531" s="19" t="n"/>
      <c r="R1531" s="19" t="n"/>
      <c r="S1531" s="19" t="n"/>
    </row>
    <row r="1532">
      <c r="A1532" s="19" t="n"/>
      <c r="B1532" s="19" t="n"/>
      <c r="C1532" s="19" t="n"/>
      <c r="D1532" s="19" t="n"/>
      <c r="E1532" s="19" t="n"/>
      <c r="F1532" s="19" t="n"/>
      <c r="G1532" s="19" t="n"/>
      <c r="H1532" s="19" t="n"/>
      <c r="I1532" s="19" t="n"/>
      <c r="J1532" s="19" t="n"/>
      <c r="K1532" s="19" t="n"/>
      <c r="L1532" s="19" t="n"/>
      <c r="M1532" s="19" t="n"/>
      <c r="N1532" s="19" t="n"/>
      <c r="O1532" s="19" t="n"/>
      <c r="P1532" s="19" t="n"/>
      <c r="Q1532" s="19" t="n"/>
      <c r="R1532" s="19" t="n"/>
      <c r="S1532" s="19" t="n"/>
    </row>
    <row r="1533">
      <c r="A1533" s="19" t="n"/>
      <c r="B1533" s="19" t="n"/>
      <c r="C1533" s="19" t="n"/>
      <c r="D1533" s="19" t="n"/>
      <c r="E1533" s="19" t="n"/>
      <c r="F1533" s="19" t="n"/>
      <c r="G1533" s="19" t="n"/>
      <c r="H1533" s="19" t="n"/>
      <c r="I1533" s="19" t="n"/>
      <c r="J1533" s="19" t="n"/>
      <c r="K1533" s="19" t="n"/>
      <c r="L1533" s="19" t="n"/>
      <c r="M1533" s="19" t="n"/>
      <c r="N1533" s="19" t="n"/>
      <c r="O1533" s="19" t="n"/>
      <c r="P1533" s="19" t="n"/>
      <c r="Q1533" s="19" t="n"/>
      <c r="R1533" s="19" t="n"/>
      <c r="S1533" s="19" t="n"/>
    </row>
    <row r="1534">
      <c r="A1534" s="19" t="n"/>
      <c r="B1534" s="19" t="n"/>
      <c r="C1534" s="19" t="n"/>
      <c r="D1534" s="19" t="n"/>
      <c r="E1534" s="19" t="n"/>
      <c r="F1534" s="19" t="n"/>
      <c r="G1534" s="19" t="n"/>
      <c r="H1534" s="19" t="n"/>
      <c r="I1534" s="19" t="n"/>
      <c r="J1534" s="19" t="n"/>
      <c r="K1534" s="19" t="n"/>
      <c r="L1534" s="19" t="n"/>
      <c r="M1534" s="19" t="n"/>
      <c r="N1534" s="19" t="n"/>
      <c r="O1534" s="19" t="n"/>
      <c r="P1534" s="19" t="n"/>
      <c r="Q1534" s="19" t="n"/>
      <c r="R1534" s="19" t="n"/>
      <c r="S1534" s="19" t="n"/>
    </row>
    <row r="1535">
      <c r="A1535" s="19" t="n"/>
      <c r="B1535" s="19" t="n"/>
      <c r="C1535" s="19" t="n"/>
      <c r="D1535" s="19" t="n"/>
      <c r="E1535" s="19" t="n"/>
      <c r="F1535" s="19" t="n"/>
      <c r="G1535" s="19" t="n"/>
      <c r="H1535" s="19" t="n"/>
      <c r="I1535" s="19" t="n"/>
      <c r="J1535" s="19" t="n"/>
      <c r="K1535" s="19" t="n"/>
      <c r="L1535" s="19" t="n"/>
      <c r="M1535" s="19" t="n"/>
      <c r="N1535" s="19" t="n"/>
      <c r="O1535" s="19" t="n"/>
      <c r="P1535" s="19" t="n"/>
      <c r="Q1535" s="19" t="n"/>
      <c r="R1535" s="19" t="n"/>
      <c r="S1535" s="19" t="n"/>
    </row>
    <row r="1536">
      <c r="A1536" s="19" t="n"/>
      <c r="B1536" s="19" t="n"/>
      <c r="C1536" s="19" t="n"/>
      <c r="D1536" s="19" t="n"/>
      <c r="E1536" s="19" t="n"/>
      <c r="F1536" s="19" t="n"/>
      <c r="G1536" s="19" t="n"/>
      <c r="H1536" s="19" t="n"/>
      <c r="I1536" s="19" t="n"/>
      <c r="J1536" s="19" t="n"/>
      <c r="K1536" s="19" t="n"/>
      <c r="L1536" s="19" t="n"/>
      <c r="M1536" s="19" t="n"/>
      <c r="N1536" s="19" t="n"/>
      <c r="O1536" s="19" t="n"/>
      <c r="P1536" s="19" t="n"/>
      <c r="Q1536" s="19" t="n"/>
      <c r="R1536" s="19" t="n"/>
      <c r="S1536" s="19" t="n"/>
    </row>
    <row r="1537">
      <c r="A1537" s="19" t="n"/>
      <c r="B1537" s="19" t="n"/>
      <c r="C1537" s="19" t="n"/>
      <c r="D1537" s="19" t="n"/>
      <c r="E1537" s="19" t="n"/>
      <c r="F1537" s="19" t="n"/>
      <c r="G1537" s="19" t="n"/>
      <c r="H1537" s="19" t="n"/>
      <c r="I1537" s="19" t="n"/>
      <c r="J1537" s="19" t="n"/>
      <c r="K1537" s="19" t="n"/>
      <c r="L1537" s="19" t="n"/>
      <c r="M1537" s="19" t="n"/>
      <c r="N1537" s="19" t="n"/>
      <c r="O1537" s="19" t="n"/>
      <c r="P1537" s="19" t="n"/>
      <c r="Q1537" s="19" t="n"/>
      <c r="R1537" s="19" t="n"/>
      <c r="S1537" s="19" t="n"/>
    </row>
    <row r="1538">
      <c r="A1538" s="19" t="n"/>
      <c r="B1538" s="19" t="n"/>
      <c r="C1538" s="19" t="n"/>
      <c r="D1538" s="19" t="n"/>
      <c r="E1538" s="19" t="n"/>
      <c r="F1538" s="19" t="n"/>
      <c r="G1538" s="19" t="n"/>
      <c r="H1538" s="19" t="n"/>
      <c r="I1538" s="19" t="n"/>
      <c r="J1538" s="19" t="n"/>
      <c r="K1538" s="19" t="n"/>
      <c r="L1538" s="19" t="n"/>
      <c r="M1538" s="19" t="n"/>
      <c r="N1538" s="19" t="n"/>
      <c r="O1538" s="19" t="n"/>
      <c r="P1538" s="19" t="n"/>
      <c r="Q1538" s="19" t="n"/>
      <c r="R1538" s="19" t="n"/>
      <c r="S1538" s="19" t="n"/>
    </row>
    <row r="1539">
      <c r="A1539" s="19" t="n"/>
      <c r="B1539" s="19" t="n"/>
      <c r="C1539" s="19" t="n"/>
      <c r="D1539" s="19" t="n"/>
      <c r="E1539" s="19" t="n"/>
      <c r="F1539" s="19" t="n"/>
      <c r="G1539" s="19" t="n"/>
      <c r="H1539" s="19" t="n"/>
      <c r="I1539" s="19" t="n"/>
      <c r="J1539" s="19" t="n"/>
      <c r="K1539" s="19" t="n"/>
      <c r="L1539" s="19" t="n"/>
      <c r="M1539" s="19" t="n"/>
      <c r="N1539" s="19" t="n"/>
      <c r="O1539" s="19" t="n"/>
      <c r="P1539" s="19" t="n"/>
      <c r="Q1539" s="19" t="n"/>
      <c r="R1539" s="19" t="n"/>
      <c r="S1539" s="19" t="n"/>
    </row>
    <row r="1540">
      <c r="A1540" s="19" t="n"/>
      <c r="B1540" s="19" t="n"/>
      <c r="C1540" s="19" t="n"/>
      <c r="D1540" s="19" t="n"/>
      <c r="E1540" s="19" t="n"/>
      <c r="F1540" s="19" t="n"/>
      <c r="G1540" s="19" t="n"/>
      <c r="H1540" s="19" t="n"/>
      <c r="I1540" s="19" t="n"/>
      <c r="J1540" s="19" t="n"/>
      <c r="K1540" s="19" t="n"/>
      <c r="L1540" s="19" t="n"/>
      <c r="M1540" s="19" t="n"/>
      <c r="N1540" s="19" t="n"/>
      <c r="O1540" s="19" t="n"/>
      <c r="P1540" s="19" t="n"/>
      <c r="Q1540" s="19" t="n"/>
      <c r="R1540" s="19" t="n"/>
      <c r="S1540" s="19" t="n"/>
    </row>
    <row r="1541">
      <c r="A1541" s="19" t="n"/>
      <c r="B1541" s="19" t="n"/>
      <c r="C1541" s="19" t="n"/>
      <c r="D1541" s="19" t="n"/>
      <c r="E1541" s="19" t="n"/>
      <c r="F1541" s="19" t="n"/>
      <c r="G1541" s="19" t="n"/>
      <c r="H1541" s="19" t="n"/>
      <c r="I1541" s="19" t="n"/>
      <c r="J1541" s="19" t="n"/>
      <c r="K1541" s="19" t="n"/>
      <c r="L1541" s="19" t="n"/>
      <c r="M1541" s="19" t="n"/>
      <c r="N1541" s="19" t="n"/>
      <c r="O1541" s="19" t="n"/>
      <c r="P1541" s="19" t="n"/>
      <c r="Q1541" s="19" t="n"/>
      <c r="R1541" s="19" t="n"/>
      <c r="S1541" s="19" t="n"/>
    </row>
    <row r="1542">
      <c r="A1542" s="19" t="n"/>
      <c r="B1542" s="19" t="n"/>
      <c r="C1542" s="19" t="n"/>
      <c r="D1542" s="19" t="n"/>
      <c r="E1542" s="19" t="n"/>
      <c r="F1542" s="19" t="n"/>
      <c r="G1542" s="19" t="n"/>
      <c r="H1542" s="19" t="n"/>
      <c r="I1542" s="19" t="n"/>
      <c r="J1542" s="19" t="n"/>
      <c r="K1542" s="19" t="n"/>
      <c r="L1542" s="19" t="n"/>
      <c r="M1542" s="19" t="n"/>
      <c r="N1542" s="19" t="n"/>
      <c r="O1542" s="19" t="n"/>
      <c r="P1542" s="19" t="n"/>
      <c r="Q1542" s="19" t="n"/>
      <c r="R1542" s="19" t="n"/>
      <c r="S1542" s="19" t="n"/>
    </row>
    <row r="1543">
      <c r="A1543" s="19" t="n"/>
      <c r="B1543" s="19" t="n"/>
      <c r="C1543" s="19" t="n"/>
      <c r="D1543" s="19" t="n"/>
      <c r="E1543" s="19" t="n"/>
      <c r="F1543" s="19" t="n"/>
      <c r="G1543" s="19" t="n"/>
      <c r="H1543" s="19" t="n"/>
      <c r="I1543" s="19" t="n"/>
      <c r="J1543" s="19" t="n"/>
      <c r="K1543" s="19" t="n"/>
      <c r="L1543" s="19" t="n"/>
      <c r="M1543" s="19" t="n"/>
      <c r="N1543" s="19" t="n"/>
      <c r="O1543" s="19" t="n"/>
      <c r="P1543" s="19" t="n"/>
      <c r="Q1543" s="19" t="n"/>
      <c r="R1543" s="19" t="n"/>
      <c r="S1543" s="19" t="n"/>
    </row>
    <row r="1544">
      <c r="A1544" s="19" t="n"/>
      <c r="B1544" s="19" t="n"/>
      <c r="C1544" s="19" t="n"/>
      <c r="D1544" s="19" t="n"/>
      <c r="E1544" s="19" t="n"/>
      <c r="F1544" s="19" t="n"/>
      <c r="G1544" s="19" t="n"/>
      <c r="H1544" s="19" t="n"/>
      <c r="I1544" s="19" t="n"/>
      <c r="J1544" s="19" t="n"/>
      <c r="K1544" s="19" t="n"/>
      <c r="L1544" s="19" t="n"/>
      <c r="M1544" s="19" t="n"/>
      <c r="N1544" s="19" t="n"/>
      <c r="O1544" s="19" t="n"/>
      <c r="P1544" s="19" t="n"/>
      <c r="Q1544" s="19" t="n"/>
      <c r="R1544" s="19" t="n"/>
      <c r="S1544" s="19" t="n"/>
    </row>
    <row r="1545">
      <c r="A1545" s="19" t="n"/>
      <c r="B1545" s="19" t="n"/>
      <c r="C1545" s="19" t="n"/>
      <c r="D1545" s="19" t="n"/>
      <c r="E1545" s="19" t="n"/>
      <c r="F1545" s="19" t="n"/>
      <c r="G1545" s="19" t="n"/>
      <c r="H1545" s="19" t="n"/>
      <c r="I1545" s="19" t="n"/>
      <c r="J1545" s="19" t="n"/>
      <c r="K1545" s="19" t="n"/>
      <c r="L1545" s="19" t="n"/>
      <c r="M1545" s="19" t="n"/>
      <c r="N1545" s="19" t="n"/>
      <c r="O1545" s="19" t="n"/>
      <c r="P1545" s="19" t="n"/>
      <c r="Q1545" s="19" t="n"/>
      <c r="R1545" s="19" t="n"/>
      <c r="S1545" s="19" t="n"/>
    </row>
    <row r="1546">
      <c r="A1546" s="19" t="n"/>
      <c r="B1546" s="19" t="n"/>
      <c r="C1546" s="19" t="n"/>
      <c r="D1546" s="19" t="n"/>
      <c r="E1546" s="19" t="n"/>
      <c r="F1546" s="19" t="n"/>
      <c r="G1546" s="19" t="n"/>
      <c r="H1546" s="19" t="n"/>
      <c r="I1546" s="19" t="n"/>
      <c r="J1546" s="19" t="n"/>
      <c r="K1546" s="19" t="n"/>
      <c r="L1546" s="19" t="n"/>
      <c r="M1546" s="19" t="n"/>
      <c r="N1546" s="19" t="n"/>
      <c r="O1546" s="19" t="n"/>
      <c r="P1546" s="19" t="n"/>
      <c r="Q1546" s="19" t="n"/>
      <c r="R1546" s="19" t="n"/>
      <c r="S1546" s="19" t="n"/>
    </row>
    <row r="1547">
      <c r="A1547" s="19" t="n"/>
      <c r="B1547" s="19" t="n"/>
      <c r="C1547" s="19" t="n"/>
      <c r="D1547" s="19" t="n"/>
      <c r="E1547" s="19" t="n"/>
      <c r="F1547" s="19" t="n"/>
      <c r="G1547" s="19" t="n"/>
      <c r="H1547" s="19" t="n"/>
      <c r="I1547" s="19" t="n"/>
      <c r="J1547" s="19" t="n"/>
      <c r="K1547" s="19" t="n"/>
      <c r="L1547" s="19" t="n"/>
      <c r="M1547" s="19" t="n"/>
      <c r="N1547" s="19" t="n"/>
      <c r="O1547" s="19" t="n"/>
      <c r="P1547" s="19" t="n"/>
      <c r="Q1547" s="19" t="n"/>
      <c r="R1547" s="19" t="n"/>
      <c r="S1547" s="19" t="n"/>
    </row>
    <row r="1548">
      <c r="A1548" s="19" t="n"/>
      <c r="B1548" s="19" t="n"/>
      <c r="C1548" s="19" t="n"/>
      <c r="D1548" s="19" t="n"/>
      <c r="E1548" s="19" t="n"/>
      <c r="F1548" s="19" t="n"/>
      <c r="G1548" s="19" t="n"/>
      <c r="H1548" s="19" t="n"/>
      <c r="I1548" s="19" t="n"/>
      <c r="J1548" s="19" t="n"/>
      <c r="K1548" s="19" t="n"/>
      <c r="L1548" s="19" t="n"/>
      <c r="M1548" s="19" t="n"/>
      <c r="N1548" s="19" t="n"/>
      <c r="O1548" s="19" t="n"/>
      <c r="P1548" s="19" t="n"/>
      <c r="Q1548" s="19" t="n"/>
      <c r="R1548" s="19" t="n"/>
      <c r="S1548" s="19" t="n"/>
    </row>
    <row r="1549">
      <c r="A1549" s="19" t="n"/>
      <c r="B1549" s="19" t="n"/>
      <c r="C1549" s="19" t="n"/>
      <c r="D1549" s="19" t="n"/>
      <c r="E1549" s="19" t="n"/>
      <c r="F1549" s="19" t="n"/>
      <c r="G1549" s="19" t="n"/>
      <c r="H1549" s="19" t="n"/>
      <c r="I1549" s="19" t="n"/>
      <c r="J1549" s="19" t="n"/>
      <c r="K1549" s="19" t="n"/>
      <c r="L1549" s="19" t="n"/>
      <c r="M1549" s="19" t="n"/>
      <c r="N1549" s="19" t="n"/>
      <c r="O1549" s="19" t="n"/>
      <c r="P1549" s="19" t="n"/>
      <c r="Q1549" s="19" t="n"/>
      <c r="R1549" s="19" t="n"/>
      <c r="S1549" s="19" t="n"/>
    </row>
    <row r="1550">
      <c r="A1550" s="19" t="n"/>
      <c r="B1550" s="19" t="n"/>
      <c r="C1550" s="19" t="n"/>
      <c r="D1550" s="19" t="n"/>
      <c r="E1550" s="19" t="n"/>
      <c r="F1550" s="19" t="n"/>
      <c r="G1550" s="19" t="n"/>
      <c r="H1550" s="19" t="n"/>
      <c r="I1550" s="19" t="n"/>
      <c r="J1550" s="19" t="n"/>
      <c r="K1550" s="19" t="n"/>
      <c r="L1550" s="19" t="n"/>
      <c r="M1550" s="19" t="n"/>
      <c r="N1550" s="19" t="n"/>
      <c r="O1550" s="19" t="n"/>
      <c r="P1550" s="19" t="n"/>
      <c r="Q1550" s="19" t="n"/>
      <c r="R1550" s="19" t="n"/>
      <c r="S1550" s="19" t="n"/>
    </row>
    <row r="1551">
      <c r="A1551" s="19" t="n"/>
      <c r="B1551" s="19" t="n"/>
      <c r="C1551" s="19" t="n"/>
      <c r="D1551" s="19" t="n"/>
      <c r="E1551" s="19" t="n"/>
      <c r="F1551" s="19" t="n"/>
      <c r="G1551" s="19" t="n"/>
      <c r="H1551" s="19" t="n"/>
      <c r="I1551" s="19" t="n"/>
      <c r="J1551" s="19" t="n"/>
      <c r="K1551" s="19" t="n"/>
      <c r="L1551" s="19" t="n"/>
      <c r="M1551" s="19" t="n"/>
      <c r="N1551" s="19" t="n"/>
      <c r="O1551" s="19" t="n"/>
      <c r="P1551" s="19" t="n"/>
      <c r="Q1551" s="19" t="n"/>
      <c r="R1551" s="19" t="n"/>
      <c r="S1551" s="19" t="n"/>
    </row>
    <row r="1552">
      <c r="A1552" s="19" t="n"/>
      <c r="B1552" s="19" t="n"/>
      <c r="C1552" s="19" t="n"/>
      <c r="D1552" s="19" t="n"/>
      <c r="E1552" s="19" t="n"/>
      <c r="F1552" s="19" t="n"/>
      <c r="G1552" s="19" t="n"/>
      <c r="H1552" s="19" t="n"/>
      <c r="I1552" s="19" t="n"/>
      <c r="J1552" s="19" t="n"/>
      <c r="K1552" s="19" t="n"/>
      <c r="L1552" s="19" t="n"/>
      <c r="M1552" s="19" t="n"/>
      <c r="N1552" s="19" t="n"/>
      <c r="O1552" s="19" t="n"/>
      <c r="P1552" s="19" t="n"/>
      <c r="Q1552" s="19" t="n"/>
      <c r="R1552" s="19" t="n"/>
      <c r="S1552" s="19" t="n"/>
    </row>
    <row r="1553">
      <c r="A1553" s="19" t="n"/>
      <c r="B1553" s="19" t="n"/>
      <c r="C1553" s="19" t="n"/>
      <c r="D1553" s="19" t="n"/>
      <c r="E1553" s="19" t="n"/>
      <c r="F1553" s="19" t="n"/>
      <c r="G1553" s="19" t="n"/>
      <c r="H1553" s="19" t="n"/>
      <c r="I1553" s="19" t="n"/>
      <c r="J1553" s="19" t="n"/>
      <c r="K1553" s="19" t="n"/>
      <c r="L1553" s="19" t="n"/>
      <c r="M1553" s="19" t="n"/>
      <c r="N1553" s="19" t="n"/>
      <c r="O1553" s="19" t="n"/>
      <c r="P1553" s="19" t="n"/>
      <c r="Q1553" s="19" t="n"/>
      <c r="R1553" s="19" t="n"/>
      <c r="S1553" s="19" t="n"/>
    </row>
    <row r="1554">
      <c r="A1554" s="19" t="n"/>
      <c r="B1554" s="19" t="n"/>
      <c r="C1554" s="19" t="n"/>
      <c r="D1554" s="19" t="n"/>
      <c r="E1554" s="19" t="n"/>
      <c r="F1554" s="19" t="n"/>
      <c r="G1554" s="19" t="n"/>
      <c r="H1554" s="19" t="n"/>
      <c r="I1554" s="19" t="n"/>
      <c r="J1554" s="19" t="n"/>
      <c r="K1554" s="19" t="n"/>
      <c r="L1554" s="19" t="n"/>
      <c r="M1554" s="19" t="n"/>
      <c r="N1554" s="19" t="n"/>
      <c r="O1554" s="19" t="n"/>
      <c r="P1554" s="19" t="n"/>
      <c r="Q1554" s="19" t="n"/>
      <c r="R1554" s="19" t="n"/>
      <c r="S1554" s="19" t="n"/>
    </row>
    <row r="1555">
      <c r="A1555" s="19" t="n"/>
      <c r="B1555" s="19" t="n"/>
      <c r="C1555" s="19" t="n"/>
      <c r="D1555" s="19" t="n"/>
      <c r="E1555" s="19" t="n"/>
      <c r="F1555" s="19" t="n"/>
      <c r="G1555" s="19" t="n"/>
      <c r="H1555" s="19" t="n"/>
      <c r="I1555" s="19" t="n"/>
      <c r="J1555" s="19" t="n"/>
      <c r="K1555" s="19" t="n"/>
      <c r="L1555" s="19" t="n"/>
      <c r="M1555" s="19" t="n"/>
      <c r="N1555" s="19" t="n"/>
      <c r="O1555" s="19" t="n"/>
      <c r="P1555" s="19" t="n"/>
      <c r="Q1555" s="19" t="n"/>
      <c r="R1555" s="19" t="n"/>
      <c r="S1555" s="19" t="n"/>
    </row>
    <row r="1556">
      <c r="A1556" s="19" t="n"/>
      <c r="B1556" s="19" t="n"/>
      <c r="C1556" s="19" t="n"/>
      <c r="D1556" s="19" t="n"/>
      <c r="E1556" s="19" t="n"/>
      <c r="F1556" s="19" t="n"/>
      <c r="G1556" s="19" t="n"/>
      <c r="H1556" s="19" t="n"/>
      <c r="I1556" s="19" t="n"/>
      <c r="J1556" s="19" t="n"/>
      <c r="K1556" s="19" t="n"/>
      <c r="L1556" s="19" t="n"/>
      <c r="M1556" s="19" t="n"/>
      <c r="N1556" s="19" t="n"/>
      <c r="O1556" s="19" t="n"/>
      <c r="P1556" s="19" t="n"/>
      <c r="Q1556" s="19" t="n"/>
      <c r="R1556" s="19" t="n"/>
      <c r="S1556" s="19" t="n"/>
    </row>
    <row r="1557">
      <c r="A1557" s="19" t="n"/>
      <c r="B1557" s="19" t="n"/>
      <c r="C1557" s="19" t="n"/>
      <c r="D1557" s="19" t="n"/>
      <c r="E1557" s="19" t="n"/>
      <c r="F1557" s="19" t="n"/>
      <c r="G1557" s="19" t="n"/>
      <c r="H1557" s="19" t="n"/>
      <c r="I1557" s="19" t="n"/>
      <c r="J1557" s="19" t="n"/>
      <c r="K1557" s="19" t="n"/>
      <c r="L1557" s="19" t="n"/>
      <c r="M1557" s="19" t="n"/>
      <c r="N1557" s="19" t="n"/>
      <c r="O1557" s="19" t="n"/>
      <c r="P1557" s="19" t="n"/>
      <c r="Q1557" s="19" t="n"/>
      <c r="R1557" s="19" t="n"/>
      <c r="S1557" s="19" t="n"/>
    </row>
    <row r="1558">
      <c r="A1558" s="19" t="n"/>
      <c r="B1558" s="19" t="n"/>
      <c r="C1558" s="19" t="n"/>
      <c r="D1558" s="19" t="n"/>
      <c r="E1558" s="19" t="n"/>
      <c r="F1558" s="19" t="n"/>
      <c r="G1558" s="19" t="n"/>
      <c r="H1558" s="19" t="n"/>
      <c r="I1558" s="19" t="n"/>
      <c r="J1558" s="19" t="n"/>
      <c r="K1558" s="19" t="n"/>
      <c r="L1558" s="19" t="n"/>
      <c r="M1558" s="19" t="n"/>
      <c r="N1558" s="19" t="n"/>
      <c r="O1558" s="19" t="n"/>
      <c r="P1558" s="19" t="n"/>
      <c r="Q1558" s="19" t="n"/>
      <c r="R1558" s="19" t="n"/>
      <c r="S1558" s="19" t="n"/>
    </row>
    <row r="1559">
      <c r="A1559" s="19" t="n"/>
      <c r="B1559" s="19" t="n"/>
      <c r="C1559" s="19" t="n"/>
      <c r="D1559" s="19" t="n"/>
      <c r="E1559" s="19" t="n"/>
      <c r="F1559" s="19" t="n"/>
      <c r="G1559" s="19" t="n"/>
      <c r="H1559" s="19" t="n"/>
      <c r="I1559" s="19" t="n"/>
      <c r="J1559" s="19" t="n"/>
      <c r="K1559" s="19" t="n"/>
      <c r="L1559" s="19" t="n"/>
      <c r="M1559" s="19" t="n"/>
      <c r="N1559" s="19" t="n"/>
      <c r="O1559" s="19" t="n"/>
      <c r="P1559" s="19" t="n"/>
      <c r="Q1559" s="19" t="n"/>
      <c r="R1559" s="19" t="n"/>
      <c r="S1559" s="19" t="n"/>
    </row>
    <row r="1560">
      <c r="A1560" s="19" t="n"/>
      <c r="B1560" s="19" t="n"/>
      <c r="C1560" s="19" t="n"/>
      <c r="D1560" s="19" t="n"/>
      <c r="E1560" s="19" t="n"/>
      <c r="F1560" s="19" t="n"/>
      <c r="G1560" s="19" t="n"/>
      <c r="H1560" s="19" t="n"/>
      <c r="I1560" s="19" t="n"/>
      <c r="J1560" s="19" t="n"/>
      <c r="K1560" s="19" t="n"/>
      <c r="L1560" s="19" t="n"/>
      <c r="M1560" s="19" t="n"/>
      <c r="N1560" s="19" t="n"/>
      <c r="O1560" s="19" t="n"/>
      <c r="P1560" s="19" t="n"/>
      <c r="Q1560" s="19" t="n"/>
      <c r="R1560" s="19" t="n"/>
      <c r="S1560" s="19" t="n"/>
    </row>
    <row r="1561">
      <c r="A1561" s="19" t="n"/>
      <c r="B1561" s="19" t="n"/>
      <c r="C1561" s="19" t="n"/>
      <c r="D1561" s="19" t="n"/>
      <c r="E1561" s="19" t="n"/>
      <c r="F1561" s="19" t="n"/>
      <c r="G1561" s="19" t="n"/>
      <c r="H1561" s="19" t="n"/>
      <c r="I1561" s="19" t="n"/>
      <c r="J1561" s="19" t="n"/>
      <c r="K1561" s="19" t="n"/>
      <c r="L1561" s="19" t="n"/>
      <c r="M1561" s="19" t="n"/>
      <c r="N1561" s="19" t="n"/>
      <c r="O1561" s="19" t="n"/>
      <c r="P1561" s="19" t="n"/>
      <c r="Q1561" s="19" t="n"/>
      <c r="R1561" s="19" t="n"/>
      <c r="S1561" s="19" t="n"/>
    </row>
    <row r="1562">
      <c r="A1562" s="19" t="n"/>
      <c r="B1562" s="19" t="n"/>
      <c r="C1562" s="19" t="n"/>
      <c r="D1562" s="19" t="n"/>
      <c r="E1562" s="19" t="n"/>
      <c r="F1562" s="19" t="n"/>
      <c r="G1562" s="19" t="n"/>
      <c r="H1562" s="19" t="n"/>
      <c r="I1562" s="19" t="n"/>
      <c r="J1562" s="19" t="n"/>
      <c r="K1562" s="19" t="n"/>
      <c r="L1562" s="19" t="n"/>
      <c r="M1562" s="19" t="n"/>
      <c r="N1562" s="19" t="n"/>
      <c r="O1562" s="19" t="n"/>
      <c r="P1562" s="19" t="n"/>
      <c r="Q1562" s="19" t="n"/>
      <c r="R1562" s="19" t="n"/>
      <c r="S1562" s="19" t="n"/>
    </row>
    <row r="1563">
      <c r="A1563" s="19" t="n"/>
      <c r="B1563" s="19" t="n"/>
      <c r="C1563" s="19" t="n"/>
      <c r="D1563" s="19" t="n"/>
      <c r="E1563" s="19" t="n"/>
      <c r="F1563" s="19" t="n"/>
      <c r="G1563" s="19" t="n"/>
      <c r="H1563" s="19" t="n"/>
      <c r="I1563" s="19" t="n"/>
      <c r="J1563" s="19" t="n"/>
      <c r="K1563" s="19" t="n"/>
      <c r="L1563" s="19" t="n"/>
      <c r="M1563" s="19" t="n"/>
      <c r="N1563" s="19" t="n"/>
      <c r="O1563" s="19" t="n"/>
      <c r="P1563" s="19" t="n"/>
      <c r="Q1563" s="19" t="n"/>
      <c r="R1563" s="19" t="n"/>
      <c r="S1563" s="19" t="n"/>
    </row>
    <row r="1564">
      <c r="A1564" s="19" t="n"/>
      <c r="B1564" s="19" t="n"/>
      <c r="C1564" s="19" t="n"/>
      <c r="D1564" s="19" t="n"/>
      <c r="E1564" s="19" t="n"/>
      <c r="F1564" s="19" t="n"/>
      <c r="G1564" s="19" t="n"/>
      <c r="H1564" s="19" t="n"/>
      <c r="I1564" s="19" t="n"/>
      <c r="J1564" s="19" t="n"/>
      <c r="K1564" s="19" t="n"/>
      <c r="L1564" s="19" t="n"/>
      <c r="M1564" s="19" t="n"/>
      <c r="N1564" s="19" t="n"/>
      <c r="O1564" s="19" t="n"/>
      <c r="P1564" s="19" t="n"/>
      <c r="Q1564" s="19" t="n"/>
      <c r="R1564" s="19" t="n"/>
      <c r="S1564" s="19" t="n"/>
    </row>
    <row r="1565">
      <c r="A1565" s="19" t="n"/>
      <c r="B1565" s="19" t="n"/>
      <c r="C1565" s="19" t="n"/>
      <c r="D1565" s="19" t="n"/>
      <c r="E1565" s="19" t="n"/>
      <c r="F1565" s="19" t="n"/>
      <c r="G1565" s="19" t="n"/>
      <c r="H1565" s="19" t="n"/>
      <c r="I1565" s="19" t="n"/>
      <c r="J1565" s="19" t="n"/>
      <c r="K1565" s="19" t="n"/>
      <c r="L1565" s="19" t="n"/>
      <c r="M1565" s="19" t="n"/>
      <c r="N1565" s="19" t="n"/>
      <c r="O1565" s="19" t="n"/>
      <c r="P1565" s="19" t="n"/>
      <c r="Q1565" s="19" t="n"/>
      <c r="R1565" s="19" t="n"/>
      <c r="S1565" s="19" t="n"/>
    </row>
    <row r="1566">
      <c r="A1566" s="19" t="n"/>
      <c r="B1566" s="19" t="n"/>
      <c r="C1566" s="19" t="n"/>
      <c r="D1566" s="19" t="n"/>
      <c r="E1566" s="19" t="n"/>
      <c r="F1566" s="19" t="n"/>
      <c r="G1566" s="19" t="n"/>
      <c r="H1566" s="19" t="n"/>
      <c r="I1566" s="19" t="n"/>
      <c r="J1566" s="19" t="n"/>
      <c r="K1566" s="19" t="n"/>
      <c r="L1566" s="19" t="n"/>
      <c r="M1566" s="19" t="n"/>
      <c r="N1566" s="19" t="n"/>
      <c r="O1566" s="19" t="n"/>
      <c r="P1566" s="19" t="n"/>
      <c r="Q1566" s="19" t="n"/>
      <c r="R1566" s="19" t="n"/>
      <c r="S1566" s="19" t="n"/>
    </row>
    <row r="1567">
      <c r="A1567" s="19" t="n"/>
      <c r="B1567" s="19" t="n"/>
      <c r="C1567" s="19" t="n"/>
      <c r="D1567" s="19" t="n"/>
      <c r="E1567" s="19" t="n"/>
      <c r="F1567" s="19" t="n"/>
      <c r="G1567" s="19" t="n"/>
      <c r="H1567" s="19" t="n"/>
      <c r="I1567" s="19" t="n"/>
      <c r="J1567" s="19" t="n"/>
      <c r="K1567" s="19" t="n"/>
      <c r="L1567" s="19" t="n"/>
      <c r="M1567" s="19" t="n"/>
      <c r="N1567" s="19" t="n"/>
      <c r="O1567" s="19" t="n"/>
      <c r="P1567" s="19" t="n"/>
      <c r="Q1567" s="19" t="n"/>
      <c r="R1567" s="19" t="n"/>
      <c r="S1567" s="19" t="n"/>
    </row>
    <row r="1568">
      <c r="A1568" s="19" t="n"/>
      <c r="B1568" s="19" t="n"/>
      <c r="C1568" s="19" t="n"/>
      <c r="D1568" s="19" t="n"/>
      <c r="E1568" s="19" t="n"/>
      <c r="F1568" s="19" t="n"/>
      <c r="G1568" s="19" t="n"/>
      <c r="H1568" s="19" t="n"/>
      <c r="I1568" s="19" t="n"/>
      <c r="J1568" s="19" t="n"/>
      <c r="K1568" s="19" t="n"/>
      <c r="L1568" s="19" t="n"/>
      <c r="M1568" s="19" t="n"/>
      <c r="N1568" s="19" t="n"/>
      <c r="O1568" s="19" t="n"/>
      <c r="P1568" s="19" t="n"/>
      <c r="Q1568" s="19" t="n"/>
      <c r="R1568" s="19" t="n"/>
      <c r="S1568" s="19" t="n"/>
    </row>
    <row r="1569">
      <c r="A1569" s="19" t="n"/>
      <c r="B1569" s="19" t="n"/>
      <c r="C1569" s="19" t="n"/>
      <c r="D1569" s="19" t="n"/>
      <c r="E1569" s="19" t="n"/>
      <c r="F1569" s="19" t="n"/>
      <c r="G1569" s="19" t="n"/>
      <c r="H1569" s="19" t="n"/>
      <c r="I1569" s="19" t="n"/>
      <c r="J1569" s="19" t="n"/>
      <c r="K1569" s="19" t="n"/>
      <c r="L1569" s="19" t="n"/>
      <c r="M1569" s="19" t="n"/>
      <c r="N1569" s="19" t="n"/>
      <c r="O1569" s="19" t="n"/>
      <c r="P1569" s="19" t="n"/>
      <c r="Q1569" s="19" t="n"/>
      <c r="R1569" s="19" t="n"/>
      <c r="S1569" s="19" t="n"/>
    </row>
    <row r="1570">
      <c r="A1570" s="19" t="n"/>
      <c r="B1570" s="19" t="n"/>
      <c r="C1570" s="19" t="n"/>
      <c r="D1570" s="19" t="n"/>
      <c r="E1570" s="19" t="n"/>
      <c r="F1570" s="19" t="n"/>
      <c r="G1570" s="19" t="n"/>
      <c r="H1570" s="19" t="n"/>
      <c r="I1570" s="19" t="n"/>
      <c r="J1570" s="19" t="n"/>
      <c r="K1570" s="19" t="n"/>
      <c r="L1570" s="19" t="n"/>
      <c r="M1570" s="19" t="n"/>
      <c r="N1570" s="19" t="n"/>
      <c r="O1570" s="19" t="n"/>
      <c r="P1570" s="19" t="n"/>
      <c r="Q1570" s="19" t="n"/>
      <c r="R1570" s="19" t="n"/>
      <c r="S1570" s="19" t="n"/>
    </row>
    <row r="1571">
      <c r="A1571" s="19" t="n"/>
      <c r="B1571" s="19" t="n"/>
      <c r="C1571" s="19" t="n"/>
      <c r="D1571" s="19" t="n"/>
      <c r="E1571" s="19" t="n"/>
      <c r="F1571" s="19" t="n"/>
      <c r="G1571" s="19" t="n"/>
      <c r="H1571" s="19" t="n"/>
      <c r="I1571" s="19" t="n"/>
      <c r="J1571" s="19" t="n"/>
      <c r="K1571" s="19" t="n"/>
      <c r="L1571" s="19" t="n"/>
      <c r="M1571" s="19" t="n"/>
      <c r="N1571" s="19" t="n"/>
      <c r="O1571" s="19" t="n"/>
      <c r="P1571" s="19" t="n"/>
      <c r="Q1571" s="19" t="n"/>
      <c r="R1571" s="19" t="n"/>
      <c r="S1571" s="19" t="n"/>
    </row>
    <row r="1572">
      <c r="A1572" s="19" t="n"/>
      <c r="B1572" s="19" t="n"/>
      <c r="C1572" s="19" t="n"/>
      <c r="D1572" s="19" t="n"/>
      <c r="E1572" s="19" t="n"/>
      <c r="F1572" s="19" t="n"/>
      <c r="G1572" s="19" t="n"/>
      <c r="H1572" s="19" t="n"/>
      <c r="I1572" s="19" t="n"/>
      <c r="J1572" s="19" t="n"/>
      <c r="K1572" s="19" t="n"/>
      <c r="L1572" s="19" t="n"/>
      <c r="M1572" s="19" t="n"/>
      <c r="N1572" s="19" t="n"/>
      <c r="O1572" s="19" t="n"/>
      <c r="P1572" s="19" t="n"/>
      <c r="Q1572" s="19" t="n"/>
      <c r="R1572" s="19" t="n"/>
      <c r="S1572" s="19" t="n"/>
    </row>
    <row r="1573">
      <c r="A1573" s="19" t="n"/>
      <c r="B1573" s="19" t="n"/>
      <c r="C1573" s="19" t="n"/>
      <c r="D1573" s="19" t="n"/>
      <c r="E1573" s="19" t="n"/>
      <c r="F1573" s="19" t="n"/>
      <c r="G1573" s="19" t="n"/>
      <c r="H1573" s="19" t="n"/>
      <c r="I1573" s="19" t="n"/>
      <c r="J1573" s="19" t="n"/>
      <c r="K1573" s="19" t="n"/>
      <c r="L1573" s="19" t="n"/>
      <c r="M1573" s="19" t="n"/>
      <c r="N1573" s="19" t="n"/>
      <c r="O1573" s="19" t="n"/>
      <c r="P1573" s="19" t="n"/>
      <c r="Q1573" s="19" t="n"/>
      <c r="R1573" s="19" t="n"/>
      <c r="S1573" s="19" t="n"/>
    </row>
    <row r="1574">
      <c r="A1574" s="19" t="n"/>
      <c r="B1574" s="19" t="n"/>
      <c r="C1574" s="19" t="n"/>
      <c r="D1574" s="19" t="n"/>
      <c r="E1574" s="19" t="n"/>
      <c r="F1574" s="19" t="n"/>
      <c r="G1574" s="19" t="n"/>
      <c r="H1574" s="19" t="n"/>
      <c r="I1574" s="19" t="n"/>
      <c r="J1574" s="19" t="n"/>
      <c r="K1574" s="19" t="n"/>
      <c r="L1574" s="19" t="n"/>
      <c r="M1574" s="19" t="n"/>
      <c r="N1574" s="19" t="n"/>
      <c r="O1574" s="19" t="n"/>
      <c r="P1574" s="19" t="n"/>
      <c r="Q1574" s="19" t="n"/>
      <c r="R1574" s="19" t="n"/>
      <c r="S1574" s="19" t="n"/>
    </row>
    <row r="1575">
      <c r="A1575" s="19" t="n"/>
      <c r="B1575" s="19" t="n"/>
      <c r="C1575" s="19" t="n"/>
      <c r="D1575" s="19" t="n"/>
      <c r="E1575" s="19" t="n"/>
      <c r="F1575" s="19" t="n"/>
      <c r="G1575" s="19" t="n"/>
      <c r="H1575" s="19" t="n"/>
      <c r="I1575" s="19" t="n"/>
      <c r="J1575" s="19" t="n"/>
      <c r="K1575" s="19" t="n"/>
      <c r="L1575" s="19" t="n"/>
      <c r="M1575" s="19" t="n"/>
      <c r="N1575" s="19" t="n"/>
      <c r="O1575" s="19" t="n"/>
      <c r="P1575" s="19" t="n"/>
      <c r="Q1575" s="19" t="n"/>
      <c r="R1575" s="19" t="n"/>
      <c r="S1575" s="19" t="n"/>
    </row>
    <row r="1576">
      <c r="A1576" s="19" t="n"/>
      <c r="B1576" s="19" t="n"/>
      <c r="C1576" s="19" t="n"/>
      <c r="D1576" s="19" t="n"/>
      <c r="E1576" s="19" t="n"/>
      <c r="F1576" s="19" t="n"/>
      <c r="G1576" s="19" t="n"/>
      <c r="H1576" s="19" t="n"/>
      <c r="I1576" s="19" t="n"/>
      <c r="J1576" s="19" t="n"/>
      <c r="K1576" s="19" t="n"/>
      <c r="L1576" s="19" t="n"/>
      <c r="M1576" s="19" t="n"/>
      <c r="N1576" s="19" t="n"/>
      <c r="O1576" s="19" t="n"/>
      <c r="P1576" s="19" t="n"/>
      <c r="Q1576" s="19" t="n"/>
      <c r="R1576" s="19" t="n"/>
      <c r="S1576" s="19" t="n"/>
    </row>
    <row r="1577">
      <c r="A1577" s="19" t="n"/>
      <c r="B1577" s="19" t="n"/>
      <c r="C1577" s="19" t="n"/>
      <c r="D1577" s="19" t="n"/>
      <c r="E1577" s="19" t="n"/>
      <c r="F1577" s="19" t="n"/>
      <c r="G1577" s="19" t="n"/>
      <c r="H1577" s="19" t="n"/>
      <c r="I1577" s="19" t="n"/>
      <c r="J1577" s="19" t="n"/>
      <c r="K1577" s="19" t="n"/>
      <c r="L1577" s="19" t="n"/>
      <c r="M1577" s="19" t="n"/>
      <c r="N1577" s="19" t="n"/>
      <c r="O1577" s="19" t="n"/>
      <c r="P1577" s="19" t="n"/>
      <c r="Q1577" s="19" t="n"/>
      <c r="R1577" s="19" t="n"/>
      <c r="S1577" s="19" t="n"/>
    </row>
    <row r="1578">
      <c r="A1578" s="19" t="n"/>
      <c r="B1578" s="19" t="n"/>
      <c r="C1578" s="19" t="n"/>
      <c r="D1578" s="19" t="n"/>
      <c r="E1578" s="19" t="n"/>
      <c r="F1578" s="19" t="n"/>
      <c r="G1578" s="19" t="n"/>
      <c r="H1578" s="19" t="n"/>
      <c r="I1578" s="19" t="n"/>
      <c r="J1578" s="19" t="n"/>
      <c r="K1578" s="19" t="n"/>
      <c r="L1578" s="19" t="n"/>
      <c r="M1578" s="19" t="n"/>
      <c r="N1578" s="19" t="n"/>
      <c r="O1578" s="19" t="n"/>
      <c r="P1578" s="19" t="n"/>
      <c r="Q1578" s="19" t="n"/>
      <c r="R1578" s="19" t="n"/>
      <c r="S1578" s="19" t="n"/>
    </row>
    <row r="1579">
      <c r="A1579" s="19" t="n"/>
      <c r="B1579" s="19" t="n"/>
      <c r="C1579" s="19" t="n"/>
      <c r="D1579" s="19" t="n"/>
      <c r="E1579" s="19" t="n"/>
      <c r="F1579" s="19" t="n"/>
      <c r="G1579" s="19" t="n"/>
      <c r="H1579" s="19" t="n"/>
      <c r="I1579" s="19" t="n"/>
      <c r="J1579" s="19" t="n"/>
      <c r="K1579" s="19" t="n"/>
      <c r="L1579" s="19" t="n"/>
      <c r="M1579" s="19" t="n"/>
      <c r="N1579" s="19" t="n"/>
      <c r="O1579" s="19" t="n"/>
      <c r="P1579" s="19" t="n"/>
      <c r="Q1579" s="19" t="n"/>
      <c r="R1579" s="19" t="n"/>
      <c r="S1579" s="19" t="n"/>
    </row>
    <row r="1580">
      <c r="A1580" s="19" t="n"/>
      <c r="B1580" s="19" t="n"/>
      <c r="C1580" s="19" t="n"/>
      <c r="D1580" s="19" t="n"/>
      <c r="E1580" s="19" t="n"/>
      <c r="F1580" s="19" t="n"/>
      <c r="G1580" s="19" t="n"/>
      <c r="H1580" s="19" t="n"/>
      <c r="I1580" s="19" t="n"/>
      <c r="J1580" s="19" t="n"/>
      <c r="K1580" s="19" t="n"/>
      <c r="L1580" s="19" t="n"/>
      <c r="M1580" s="19" t="n"/>
      <c r="N1580" s="19" t="n"/>
      <c r="O1580" s="19" t="n"/>
      <c r="P1580" s="19" t="n"/>
      <c r="Q1580" s="19" t="n"/>
      <c r="R1580" s="19" t="n"/>
      <c r="S1580" s="19" t="n"/>
    </row>
    <row r="1581">
      <c r="A1581" s="19" t="n"/>
      <c r="B1581" s="19" t="n"/>
      <c r="C1581" s="19" t="n"/>
      <c r="D1581" s="19" t="n"/>
      <c r="E1581" s="19" t="n"/>
      <c r="F1581" s="19" t="n"/>
      <c r="G1581" s="19" t="n"/>
      <c r="H1581" s="19" t="n"/>
      <c r="I1581" s="19" t="n"/>
      <c r="J1581" s="19" t="n"/>
      <c r="K1581" s="19" t="n"/>
      <c r="L1581" s="19" t="n"/>
      <c r="M1581" s="19" t="n"/>
      <c r="N1581" s="19" t="n"/>
      <c r="O1581" s="19" t="n"/>
      <c r="P1581" s="19" t="n"/>
      <c r="Q1581" s="19" t="n"/>
      <c r="R1581" s="19" t="n"/>
      <c r="S1581" s="19" t="n"/>
    </row>
    <row r="1582">
      <c r="A1582" s="19" t="n"/>
      <c r="B1582" s="19" t="n"/>
      <c r="C1582" s="19" t="n"/>
      <c r="D1582" s="19" t="n"/>
      <c r="E1582" s="19" t="n"/>
      <c r="F1582" s="19" t="n"/>
      <c r="G1582" s="19" t="n"/>
      <c r="H1582" s="19" t="n"/>
      <c r="I1582" s="19" t="n"/>
      <c r="J1582" s="19" t="n"/>
      <c r="K1582" s="19" t="n"/>
      <c r="L1582" s="19" t="n"/>
      <c r="M1582" s="19" t="n"/>
      <c r="N1582" s="19" t="n"/>
      <c r="O1582" s="19" t="n"/>
      <c r="P1582" s="19" t="n"/>
      <c r="Q1582" s="19" t="n"/>
      <c r="R1582" s="19" t="n"/>
      <c r="S1582" s="19" t="n"/>
    </row>
    <row r="1583">
      <c r="A1583" s="19" t="n"/>
      <c r="B1583" s="19" t="n"/>
      <c r="C1583" s="19" t="n"/>
      <c r="D1583" s="19" t="n"/>
      <c r="E1583" s="19" t="n"/>
      <c r="F1583" s="19" t="n"/>
      <c r="G1583" s="19" t="n"/>
      <c r="H1583" s="19" t="n"/>
      <c r="I1583" s="19" t="n"/>
      <c r="J1583" s="19" t="n"/>
      <c r="K1583" s="19" t="n"/>
      <c r="L1583" s="19" t="n"/>
      <c r="M1583" s="19" t="n"/>
      <c r="N1583" s="19" t="n"/>
      <c r="O1583" s="19" t="n"/>
      <c r="P1583" s="19" t="n"/>
      <c r="Q1583" s="19" t="n"/>
      <c r="R1583" s="19" t="n"/>
      <c r="S1583" s="19" t="n"/>
    </row>
    <row r="1584">
      <c r="A1584" s="19" t="n"/>
      <c r="B1584" s="19" t="n"/>
      <c r="C1584" s="19" t="n"/>
      <c r="D1584" s="19" t="n"/>
      <c r="E1584" s="19" t="n"/>
      <c r="F1584" s="19" t="n"/>
      <c r="G1584" s="19" t="n"/>
      <c r="H1584" s="19" t="n"/>
      <c r="I1584" s="19" t="n"/>
      <c r="J1584" s="19" t="n"/>
      <c r="K1584" s="19" t="n"/>
      <c r="L1584" s="19" t="n"/>
      <c r="M1584" s="19" t="n"/>
      <c r="N1584" s="19" t="n"/>
      <c r="O1584" s="19" t="n"/>
      <c r="P1584" s="19" t="n"/>
      <c r="Q1584" s="19" t="n"/>
      <c r="R1584" s="19" t="n"/>
      <c r="S1584" s="19" t="n"/>
    </row>
    <row r="1585">
      <c r="A1585" s="19" t="n"/>
      <c r="B1585" s="19" t="n"/>
      <c r="C1585" s="19" t="n"/>
      <c r="D1585" s="19" t="n"/>
      <c r="E1585" s="19" t="n"/>
      <c r="F1585" s="19" t="n"/>
      <c r="G1585" s="19" t="n"/>
      <c r="H1585" s="19" t="n"/>
      <c r="I1585" s="19" t="n"/>
      <c r="J1585" s="19" t="n"/>
      <c r="K1585" s="19" t="n"/>
      <c r="L1585" s="19" t="n"/>
      <c r="M1585" s="19" t="n"/>
      <c r="N1585" s="19" t="n"/>
      <c r="O1585" s="19" t="n"/>
      <c r="P1585" s="19" t="n"/>
      <c r="Q1585" s="19" t="n"/>
      <c r="R1585" s="19" t="n"/>
      <c r="S1585" s="19" t="n"/>
    </row>
    <row r="1586">
      <c r="A1586" s="19" t="n"/>
      <c r="B1586" s="19" t="n"/>
      <c r="C1586" s="19" t="n"/>
      <c r="D1586" s="19" t="n"/>
      <c r="E1586" s="19" t="n"/>
      <c r="F1586" s="19" t="n"/>
      <c r="G1586" s="19" t="n"/>
      <c r="H1586" s="19" t="n"/>
      <c r="I1586" s="19" t="n"/>
      <c r="J1586" s="19" t="n"/>
      <c r="K1586" s="19" t="n"/>
      <c r="L1586" s="19" t="n"/>
      <c r="M1586" s="19" t="n"/>
      <c r="N1586" s="19" t="n"/>
      <c r="O1586" s="19" t="n"/>
      <c r="P1586" s="19" t="n"/>
      <c r="Q1586" s="19" t="n"/>
      <c r="R1586" s="19" t="n"/>
      <c r="S1586" s="19" t="n"/>
    </row>
    <row r="1587">
      <c r="A1587" s="19" t="n"/>
      <c r="B1587" s="19" t="n"/>
      <c r="C1587" s="19" t="n"/>
      <c r="D1587" s="19" t="n"/>
      <c r="E1587" s="19" t="n"/>
      <c r="F1587" s="19" t="n"/>
      <c r="G1587" s="19" t="n"/>
      <c r="H1587" s="19" t="n"/>
      <c r="I1587" s="19" t="n"/>
      <c r="J1587" s="19" t="n"/>
      <c r="K1587" s="19" t="n"/>
      <c r="L1587" s="19" t="n"/>
      <c r="M1587" s="19" t="n"/>
      <c r="N1587" s="19" t="n"/>
      <c r="O1587" s="19" t="n"/>
      <c r="P1587" s="19" t="n"/>
      <c r="Q1587" s="19" t="n"/>
      <c r="R1587" s="19" t="n"/>
      <c r="S1587" s="19" t="n"/>
    </row>
    <row r="1588">
      <c r="A1588" s="19" t="n"/>
      <c r="B1588" s="19" t="n"/>
      <c r="C1588" s="19" t="n"/>
      <c r="D1588" s="19" t="n"/>
      <c r="E1588" s="19" t="n"/>
      <c r="F1588" s="19" t="n"/>
      <c r="G1588" s="19" t="n"/>
      <c r="H1588" s="19" t="n"/>
      <c r="I1588" s="19" t="n"/>
      <c r="J1588" s="19" t="n"/>
      <c r="K1588" s="19" t="n"/>
      <c r="L1588" s="19" t="n"/>
      <c r="M1588" s="19" t="n"/>
      <c r="N1588" s="19" t="n"/>
      <c r="O1588" s="19" t="n"/>
      <c r="P1588" s="19" t="n"/>
      <c r="Q1588" s="19" t="n"/>
      <c r="R1588" s="19" t="n"/>
      <c r="S1588" s="19" t="n"/>
    </row>
    <row r="1589">
      <c r="A1589" s="19" t="n"/>
      <c r="B1589" s="19" t="n"/>
      <c r="C1589" s="19" t="n"/>
      <c r="D1589" s="19" t="n"/>
      <c r="E1589" s="19" t="n"/>
      <c r="F1589" s="19" t="n"/>
      <c r="G1589" s="19" t="n"/>
      <c r="H1589" s="19" t="n"/>
      <c r="I1589" s="19" t="n"/>
      <c r="J1589" s="19" t="n"/>
      <c r="K1589" s="19" t="n"/>
      <c r="L1589" s="19" t="n"/>
      <c r="M1589" s="19" t="n"/>
      <c r="N1589" s="19" t="n"/>
      <c r="O1589" s="19" t="n"/>
      <c r="P1589" s="19" t="n"/>
      <c r="Q1589" s="19" t="n"/>
      <c r="R1589" s="19" t="n"/>
      <c r="S1589" s="19" t="n"/>
    </row>
    <row r="1590">
      <c r="A1590" s="19" t="n"/>
      <c r="B1590" s="19" t="n"/>
      <c r="C1590" s="19" t="n"/>
      <c r="D1590" s="19" t="n"/>
      <c r="E1590" s="19" t="n"/>
      <c r="F1590" s="19" t="n"/>
      <c r="G1590" s="19" t="n"/>
      <c r="H1590" s="19" t="n"/>
      <c r="I1590" s="19" t="n"/>
      <c r="J1590" s="19" t="n"/>
      <c r="K1590" s="19" t="n"/>
      <c r="L1590" s="19" t="n"/>
      <c r="M1590" s="19" t="n"/>
      <c r="N1590" s="19" t="n"/>
      <c r="O1590" s="19" t="n"/>
      <c r="P1590" s="19" t="n"/>
      <c r="Q1590" s="19" t="n"/>
      <c r="R1590" s="19" t="n"/>
      <c r="S1590" s="19" t="n"/>
    </row>
    <row r="1591">
      <c r="A1591" s="19" t="n"/>
      <c r="B1591" s="19" t="n"/>
      <c r="C1591" s="19" t="n"/>
      <c r="D1591" s="19" t="n"/>
      <c r="E1591" s="19" t="n"/>
      <c r="F1591" s="19" t="n"/>
      <c r="G1591" s="19" t="n"/>
      <c r="H1591" s="19" t="n"/>
      <c r="I1591" s="19" t="n"/>
      <c r="J1591" s="19" t="n"/>
      <c r="K1591" s="19" t="n"/>
      <c r="L1591" s="19" t="n"/>
      <c r="M1591" s="19" t="n"/>
      <c r="N1591" s="19" t="n"/>
      <c r="O1591" s="19" t="n"/>
      <c r="P1591" s="19" t="n"/>
      <c r="Q1591" s="19" t="n"/>
      <c r="R1591" s="19" t="n"/>
      <c r="S1591" s="19" t="n"/>
    </row>
    <row r="1592">
      <c r="A1592" s="19" t="n"/>
      <c r="B1592" s="19" t="n"/>
      <c r="C1592" s="19" t="n"/>
      <c r="D1592" s="19" t="n"/>
      <c r="E1592" s="19" t="n"/>
      <c r="F1592" s="19" t="n"/>
      <c r="G1592" s="19" t="n"/>
      <c r="H1592" s="19" t="n"/>
      <c r="I1592" s="19" t="n"/>
      <c r="J1592" s="19" t="n"/>
      <c r="K1592" s="19" t="n"/>
      <c r="L1592" s="19" t="n"/>
      <c r="M1592" s="19" t="n"/>
      <c r="N1592" s="19" t="n"/>
      <c r="O1592" s="19" t="n"/>
      <c r="P1592" s="19" t="n"/>
      <c r="Q1592" s="19" t="n"/>
      <c r="R1592" s="19" t="n"/>
      <c r="S1592" s="19" t="n"/>
    </row>
    <row r="1593">
      <c r="A1593" s="19" t="n"/>
      <c r="B1593" s="19" t="n"/>
      <c r="C1593" s="19" t="n"/>
      <c r="D1593" s="19" t="n"/>
      <c r="E1593" s="19" t="n"/>
      <c r="F1593" s="19" t="n"/>
      <c r="G1593" s="19" t="n"/>
      <c r="H1593" s="19" t="n"/>
      <c r="I1593" s="19" t="n"/>
      <c r="J1593" s="19" t="n"/>
      <c r="K1593" s="19" t="n"/>
      <c r="L1593" s="19" t="n"/>
      <c r="M1593" s="19" t="n"/>
      <c r="N1593" s="19" t="n"/>
      <c r="O1593" s="19" t="n"/>
      <c r="P1593" s="19" t="n"/>
      <c r="Q1593" s="19" t="n"/>
      <c r="R1593" s="19" t="n"/>
      <c r="S1593" s="19" t="n"/>
    </row>
    <row r="1594">
      <c r="A1594" s="19" t="n"/>
      <c r="B1594" s="19" t="n"/>
      <c r="C1594" s="19" t="n"/>
      <c r="D1594" s="19" t="n"/>
      <c r="E1594" s="19" t="n"/>
      <c r="F1594" s="19" t="n"/>
      <c r="G1594" s="19" t="n"/>
      <c r="H1594" s="19" t="n"/>
      <c r="I1594" s="19" t="n"/>
      <c r="J1594" s="19" t="n"/>
      <c r="K1594" s="19" t="n"/>
      <c r="L1594" s="19" t="n"/>
      <c r="M1594" s="19" t="n"/>
      <c r="N1594" s="19" t="n"/>
      <c r="O1594" s="19" t="n"/>
      <c r="P1594" s="19" t="n"/>
      <c r="Q1594" s="19" t="n"/>
      <c r="R1594" s="19" t="n"/>
      <c r="S1594" s="19" t="n"/>
    </row>
    <row r="1595">
      <c r="A1595" s="19" t="n"/>
      <c r="B1595" s="19" t="n"/>
      <c r="C1595" s="19" t="n"/>
      <c r="D1595" s="19" t="n"/>
      <c r="E1595" s="19" t="n"/>
      <c r="F1595" s="19" t="n"/>
      <c r="G1595" s="19" t="n"/>
      <c r="H1595" s="19" t="n"/>
      <c r="I1595" s="19" t="n"/>
      <c r="J1595" s="19" t="n"/>
      <c r="K1595" s="19" t="n"/>
      <c r="L1595" s="19" t="n"/>
      <c r="M1595" s="19" t="n"/>
      <c r="N1595" s="19" t="n"/>
      <c r="O1595" s="19" t="n"/>
      <c r="P1595" s="19" t="n"/>
      <c r="Q1595" s="19" t="n"/>
      <c r="R1595" s="19" t="n"/>
      <c r="S1595" s="19" t="n"/>
    </row>
    <row r="1596">
      <c r="A1596" s="19" t="n"/>
      <c r="B1596" s="19" t="n"/>
      <c r="C1596" s="19" t="n"/>
      <c r="D1596" s="19" t="n"/>
      <c r="E1596" s="19" t="n"/>
      <c r="F1596" s="19" t="n"/>
      <c r="G1596" s="19" t="n"/>
      <c r="H1596" s="19" t="n"/>
      <c r="I1596" s="19" t="n"/>
      <c r="J1596" s="19" t="n"/>
      <c r="K1596" s="19" t="n"/>
      <c r="L1596" s="19" t="n"/>
      <c r="M1596" s="19" t="n"/>
      <c r="N1596" s="19" t="n"/>
      <c r="O1596" s="19" t="n"/>
      <c r="P1596" s="19" t="n"/>
      <c r="Q1596" s="19" t="n"/>
      <c r="R1596" s="19" t="n"/>
      <c r="S1596" s="19" t="n"/>
    </row>
    <row r="1597">
      <c r="A1597" s="19" t="n"/>
      <c r="B1597" s="19" t="n"/>
      <c r="C1597" s="19" t="n"/>
      <c r="D1597" s="19" t="n"/>
      <c r="E1597" s="19" t="n"/>
      <c r="F1597" s="19" t="n"/>
      <c r="G1597" s="19" t="n"/>
      <c r="H1597" s="19" t="n"/>
      <c r="I1597" s="19" t="n"/>
      <c r="J1597" s="19" t="n"/>
      <c r="K1597" s="19" t="n"/>
      <c r="L1597" s="19" t="n"/>
      <c r="M1597" s="19" t="n"/>
      <c r="N1597" s="19" t="n"/>
      <c r="O1597" s="19" t="n"/>
      <c r="P1597" s="19" t="n"/>
      <c r="Q1597" s="19" t="n"/>
      <c r="R1597" s="19" t="n"/>
      <c r="S1597" s="19" t="n"/>
    </row>
    <row r="1598">
      <c r="A1598" s="19" t="n"/>
      <c r="B1598" s="19" t="n"/>
      <c r="C1598" s="19" t="n"/>
      <c r="D1598" s="19" t="n"/>
      <c r="E1598" s="19" t="n"/>
      <c r="F1598" s="19" t="n"/>
      <c r="G1598" s="19" t="n"/>
      <c r="H1598" s="19" t="n"/>
      <c r="I1598" s="19" t="n"/>
      <c r="J1598" s="19" t="n"/>
      <c r="K1598" s="19" t="n"/>
      <c r="L1598" s="19" t="n"/>
      <c r="M1598" s="19" t="n"/>
      <c r="N1598" s="19" t="n"/>
      <c r="O1598" s="19" t="n"/>
      <c r="P1598" s="19" t="n"/>
      <c r="Q1598" s="19" t="n"/>
      <c r="R1598" s="19" t="n"/>
      <c r="S1598" s="19" t="n"/>
    </row>
    <row r="1599">
      <c r="A1599" s="19" t="n"/>
      <c r="B1599" s="19" t="n"/>
      <c r="C1599" s="19" t="n"/>
      <c r="D1599" s="19" t="n"/>
      <c r="E1599" s="19" t="n"/>
      <c r="F1599" s="19" t="n"/>
      <c r="G1599" s="19" t="n"/>
      <c r="H1599" s="19" t="n"/>
      <c r="I1599" s="19" t="n"/>
      <c r="J1599" s="19" t="n"/>
      <c r="K1599" s="19" t="n"/>
      <c r="L1599" s="19" t="n"/>
      <c r="M1599" s="19" t="n"/>
      <c r="N1599" s="19" t="n"/>
      <c r="O1599" s="19" t="n"/>
      <c r="P1599" s="19" t="n"/>
      <c r="Q1599" s="19" t="n"/>
      <c r="R1599" s="19" t="n"/>
      <c r="S1599" s="19" t="n"/>
    </row>
    <row r="1600">
      <c r="A1600" s="19" t="n"/>
      <c r="B1600" s="19" t="n"/>
      <c r="C1600" s="19" t="n"/>
      <c r="D1600" s="19" t="n"/>
      <c r="E1600" s="19" t="n"/>
      <c r="F1600" s="19" t="n"/>
      <c r="G1600" s="19" t="n"/>
      <c r="H1600" s="19" t="n"/>
      <c r="I1600" s="19" t="n"/>
      <c r="J1600" s="19" t="n"/>
      <c r="K1600" s="19" t="n"/>
      <c r="L1600" s="19" t="n"/>
      <c r="M1600" s="19" t="n"/>
      <c r="N1600" s="19" t="n"/>
      <c r="O1600" s="19" t="n"/>
      <c r="P1600" s="19" t="n"/>
      <c r="Q1600" s="19" t="n"/>
      <c r="R1600" s="19" t="n"/>
      <c r="S1600" s="19" t="n"/>
    </row>
    <row r="1601">
      <c r="A1601" s="19" t="n"/>
      <c r="B1601" s="19" t="n"/>
      <c r="C1601" s="19" t="n"/>
      <c r="D1601" s="19" t="n"/>
      <c r="E1601" s="19" t="n"/>
      <c r="F1601" s="19" t="n"/>
      <c r="G1601" s="19" t="n"/>
      <c r="H1601" s="19" t="n"/>
      <c r="I1601" s="19" t="n"/>
      <c r="J1601" s="19" t="n"/>
      <c r="K1601" s="19" t="n"/>
      <c r="L1601" s="19" t="n"/>
      <c r="M1601" s="19" t="n"/>
      <c r="N1601" s="19" t="n"/>
      <c r="O1601" s="19" t="n"/>
      <c r="P1601" s="19" t="n"/>
      <c r="Q1601" s="19" t="n"/>
      <c r="R1601" s="19" t="n"/>
      <c r="S1601" s="19" t="n"/>
    </row>
    <row r="1602">
      <c r="A1602" s="19" t="n"/>
      <c r="B1602" s="19" t="n"/>
      <c r="C1602" s="19" t="n"/>
      <c r="D1602" s="19" t="n"/>
      <c r="E1602" s="19" t="n"/>
      <c r="F1602" s="19" t="n"/>
      <c r="G1602" s="19" t="n"/>
      <c r="H1602" s="19" t="n"/>
      <c r="I1602" s="19" t="n"/>
      <c r="J1602" s="19" t="n"/>
      <c r="K1602" s="19" t="n"/>
      <c r="L1602" s="19" t="n"/>
      <c r="M1602" s="19" t="n"/>
      <c r="N1602" s="19" t="n"/>
      <c r="O1602" s="19" t="n"/>
      <c r="P1602" s="19" t="n"/>
      <c r="Q1602" s="19" t="n"/>
      <c r="R1602" s="19" t="n"/>
      <c r="S1602" s="19" t="n"/>
    </row>
    <row r="1603">
      <c r="A1603" s="19" t="n"/>
      <c r="B1603" s="19" t="n"/>
      <c r="C1603" s="19" t="n"/>
      <c r="D1603" s="19" t="n"/>
      <c r="E1603" s="19" t="n"/>
      <c r="F1603" s="19" t="n"/>
      <c r="G1603" s="19" t="n"/>
      <c r="H1603" s="19" t="n"/>
      <c r="I1603" s="19" t="n"/>
      <c r="J1603" s="19" t="n"/>
      <c r="K1603" s="19" t="n"/>
      <c r="L1603" s="19" t="n"/>
      <c r="M1603" s="19" t="n"/>
      <c r="N1603" s="19" t="n"/>
      <c r="O1603" s="19" t="n"/>
      <c r="P1603" s="19" t="n"/>
      <c r="Q1603" s="19" t="n"/>
      <c r="R1603" s="19" t="n"/>
      <c r="S1603" s="19" t="n"/>
    </row>
    <row r="1604">
      <c r="A1604" s="19" t="n"/>
      <c r="B1604" s="19" t="n"/>
      <c r="C1604" s="19" t="n"/>
      <c r="D1604" s="19" t="n"/>
      <c r="E1604" s="19" t="n"/>
      <c r="F1604" s="19" t="n"/>
      <c r="G1604" s="19" t="n"/>
      <c r="H1604" s="19" t="n"/>
      <c r="I1604" s="19" t="n"/>
      <c r="J1604" s="19" t="n"/>
      <c r="K1604" s="19" t="n"/>
      <c r="L1604" s="19" t="n"/>
      <c r="M1604" s="19" t="n"/>
      <c r="N1604" s="19" t="n"/>
      <c r="O1604" s="19" t="n"/>
      <c r="P1604" s="19" t="n"/>
      <c r="Q1604" s="19" t="n"/>
      <c r="R1604" s="19" t="n"/>
      <c r="S1604" s="19" t="n"/>
    </row>
    <row r="1605">
      <c r="A1605" s="19" t="n"/>
      <c r="B1605" s="19" t="n"/>
      <c r="C1605" s="19" t="n"/>
      <c r="D1605" s="19" t="n"/>
      <c r="E1605" s="19" t="n"/>
      <c r="F1605" s="19" t="n"/>
      <c r="G1605" s="19" t="n"/>
      <c r="H1605" s="19" t="n"/>
      <c r="I1605" s="19" t="n"/>
      <c r="J1605" s="19" t="n"/>
      <c r="K1605" s="19" t="n"/>
      <c r="L1605" s="19" t="n"/>
      <c r="M1605" s="19" t="n"/>
      <c r="N1605" s="19" t="n"/>
      <c r="O1605" s="19" t="n"/>
      <c r="P1605" s="19" t="n"/>
      <c r="Q1605" s="19" t="n"/>
      <c r="R1605" s="19" t="n"/>
      <c r="S1605" s="19" t="n"/>
    </row>
    <row r="1606">
      <c r="A1606" s="19" t="n"/>
      <c r="B1606" s="19" t="n"/>
      <c r="C1606" s="19" t="n"/>
      <c r="D1606" s="19" t="n"/>
      <c r="E1606" s="19" t="n"/>
      <c r="F1606" s="19" t="n"/>
      <c r="G1606" s="19" t="n"/>
      <c r="H1606" s="19" t="n"/>
      <c r="I1606" s="19" t="n"/>
      <c r="J1606" s="19" t="n"/>
      <c r="K1606" s="19" t="n"/>
      <c r="L1606" s="19" t="n"/>
      <c r="M1606" s="19" t="n"/>
      <c r="N1606" s="19" t="n"/>
      <c r="O1606" s="19" t="n"/>
      <c r="P1606" s="19" t="n"/>
      <c r="Q1606" s="19" t="n"/>
      <c r="R1606" s="19" t="n"/>
      <c r="S1606" s="19" t="n"/>
    </row>
    <row r="1607">
      <c r="A1607" s="19" t="n"/>
      <c r="B1607" s="19" t="n"/>
      <c r="C1607" s="19" t="n"/>
      <c r="D1607" s="19" t="n"/>
      <c r="E1607" s="19" t="n"/>
      <c r="F1607" s="19" t="n"/>
      <c r="G1607" s="19" t="n"/>
      <c r="H1607" s="19" t="n"/>
      <c r="I1607" s="19" t="n"/>
      <c r="J1607" s="19" t="n"/>
      <c r="K1607" s="19" t="n"/>
      <c r="L1607" s="19" t="n"/>
      <c r="M1607" s="19" t="n"/>
      <c r="N1607" s="19" t="n"/>
      <c r="O1607" s="19" t="n"/>
      <c r="P1607" s="19" t="n"/>
      <c r="Q1607" s="19" t="n"/>
      <c r="R1607" s="19" t="n"/>
      <c r="S1607" s="19" t="n"/>
    </row>
    <row r="1608">
      <c r="A1608" s="19" t="n"/>
      <c r="B1608" s="19" t="n"/>
      <c r="C1608" s="19" t="n"/>
      <c r="D1608" s="19" t="n"/>
      <c r="E1608" s="19" t="n"/>
      <c r="F1608" s="19" t="n"/>
      <c r="G1608" s="19" t="n"/>
      <c r="H1608" s="19" t="n"/>
      <c r="I1608" s="19" t="n"/>
      <c r="J1608" s="19" t="n"/>
      <c r="K1608" s="19" t="n"/>
      <c r="L1608" s="19" t="n"/>
      <c r="M1608" s="19" t="n"/>
      <c r="N1608" s="19" t="n"/>
      <c r="O1608" s="19" t="n"/>
      <c r="P1608" s="19" t="n"/>
      <c r="Q1608" s="19" t="n"/>
      <c r="R1608" s="19" t="n"/>
      <c r="S1608" s="19" t="n"/>
    </row>
    <row r="1609">
      <c r="A1609" s="19" t="n"/>
      <c r="B1609" s="19" t="n"/>
      <c r="C1609" s="19" t="n"/>
      <c r="D1609" s="19" t="n"/>
      <c r="E1609" s="19" t="n"/>
      <c r="F1609" s="19" t="n"/>
      <c r="G1609" s="19" t="n"/>
      <c r="H1609" s="19" t="n"/>
      <c r="I1609" s="19" t="n"/>
      <c r="J1609" s="19" t="n"/>
      <c r="K1609" s="19" t="n"/>
      <c r="L1609" s="19" t="n"/>
      <c r="M1609" s="19" t="n"/>
      <c r="N1609" s="19" t="n"/>
      <c r="O1609" s="19" t="n"/>
      <c r="P1609" s="19" t="n"/>
      <c r="Q1609" s="19" t="n"/>
      <c r="R1609" s="19" t="n"/>
      <c r="S1609" s="19" t="n"/>
    </row>
    <row r="1610">
      <c r="A1610" s="19" t="n"/>
      <c r="B1610" s="19" t="n"/>
      <c r="C1610" s="19" t="n"/>
      <c r="D1610" s="19" t="n"/>
      <c r="E1610" s="19" t="n"/>
      <c r="F1610" s="19" t="n"/>
      <c r="G1610" s="19" t="n"/>
      <c r="H1610" s="19" t="n"/>
      <c r="I1610" s="19" t="n"/>
      <c r="J1610" s="19" t="n"/>
      <c r="K1610" s="19" t="n"/>
      <c r="L1610" s="19" t="n"/>
      <c r="M1610" s="19" t="n"/>
      <c r="N1610" s="19" t="n"/>
      <c r="O1610" s="19" t="n"/>
      <c r="P1610" s="19" t="n"/>
      <c r="Q1610" s="19" t="n"/>
      <c r="R1610" s="19" t="n"/>
      <c r="S1610" s="19" t="n"/>
    </row>
    <row r="1611">
      <c r="A1611" s="19" t="n"/>
      <c r="B1611" s="19" t="n"/>
      <c r="C1611" s="19" t="n"/>
      <c r="D1611" s="19" t="n"/>
      <c r="E1611" s="19" t="n"/>
      <c r="F1611" s="19" t="n"/>
      <c r="G1611" s="19" t="n"/>
      <c r="H1611" s="19" t="n"/>
      <c r="I1611" s="19" t="n"/>
      <c r="J1611" s="19" t="n"/>
      <c r="K1611" s="19" t="n"/>
      <c r="L1611" s="19" t="n"/>
      <c r="M1611" s="19" t="n"/>
      <c r="N1611" s="19" t="n"/>
      <c r="O1611" s="19" t="n"/>
      <c r="P1611" s="19" t="n"/>
      <c r="Q1611" s="19" t="n"/>
      <c r="R1611" s="19" t="n"/>
      <c r="S1611" s="19" t="n"/>
    </row>
    <row r="1612">
      <c r="A1612" s="19" t="n"/>
      <c r="B1612" s="19" t="n"/>
      <c r="C1612" s="19" t="n"/>
      <c r="D1612" s="19" t="n"/>
      <c r="E1612" s="19" t="n"/>
      <c r="F1612" s="19" t="n"/>
      <c r="G1612" s="19" t="n"/>
      <c r="H1612" s="19" t="n"/>
      <c r="I1612" s="19" t="n"/>
      <c r="J1612" s="19" t="n"/>
      <c r="K1612" s="19" t="n"/>
      <c r="L1612" s="19" t="n"/>
      <c r="M1612" s="19" t="n"/>
      <c r="N1612" s="19" t="n"/>
      <c r="O1612" s="19" t="n"/>
      <c r="P1612" s="19" t="n"/>
      <c r="Q1612" s="19" t="n"/>
      <c r="R1612" s="19" t="n"/>
      <c r="S1612" s="19" t="n"/>
    </row>
    <row r="1613">
      <c r="A1613" s="19" t="n"/>
      <c r="B1613" s="19" t="n"/>
      <c r="C1613" s="19" t="n"/>
      <c r="D1613" s="19" t="n"/>
      <c r="E1613" s="19" t="n"/>
      <c r="F1613" s="19" t="n"/>
      <c r="G1613" s="19" t="n"/>
      <c r="H1613" s="19" t="n"/>
      <c r="I1613" s="19" t="n"/>
      <c r="J1613" s="19" t="n"/>
      <c r="K1613" s="19" t="n"/>
      <c r="L1613" s="19" t="n"/>
      <c r="M1613" s="19" t="n"/>
      <c r="N1613" s="19" t="n"/>
      <c r="O1613" s="19" t="n"/>
      <c r="P1613" s="19" t="n"/>
      <c r="Q1613" s="19" t="n"/>
      <c r="R1613" s="19" t="n"/>
      <c r="S1613" s="19" t="n"/>
    </row>
    <row r="1614">
      <c r="A1614" s="19" t="n"/>
      <c r="B1614" s="19" t="n"/>
      <c r="C1614" s="19" t="n"/>
      <c r="D1614" s="19" t="n"/>
      <c r="E1614" s="19" t="n"/>
      <c r="F1614" s="19" t="n"/>
      <c r="G1614" s="19" t="n"/>
      <c r="H1614" s="19" t="n"/>
      <c r="I1614" s="19" t="n"/>
      <c r="J1614" s="19" t="n"/>
      <c r="K1614" s="19" t="n"/>
      <c r="L1614" s="19" t="n"/>
      <c r="M1614" s="19" t="n"/>
      <c r="N1614" s="19" t="n"/>
      <c r="O1614" s="19" t="n"/>
      <c r="P1614" s="19" t="n"/>
      <c r="Q1614" s="19" t="n"/>
      <c r="R1614" s="19" t="n"/>
      <c r="S1614" s="19" t="n"/>
    </row>
    <row r="1615">
      <c r="A1615" s="19" t="n"/>
      <c r="B1615" s="19" t="n"/>
      <c r="C1615" s="19" t="n"/>
      <c r="D1615" s="19" t="n"/>
      <c r="E1615" s="19" t="n"/>
      <c r="F1615" s="19" t="n"/>
      <c r="G1615" s="19" t="n"/>
      <c r="H1615" s="19" t="n"/>
      <c r="I1615" s="19" t="n"/>
      <c r="J1615" s="19" t="n"/>
      <c r="K1615" s="19" t="n"/>
      <c r="L1615" s="19" t="n"/>
      <c r="M1615" s="19" t="n"/>
      <c r="N1615" s="19" t="n"/>
      <c r="O1615" s="19" t="n"/>
      <c r="P1615" s="19" t="n"/>
      <c r="Q1615" s="19" t="n"/>
      <c r="R1615" s="19" t="n"/>
      <c r="S1615" s="19" t="n"/>
    </row>
    <row r="1616">
      <c r="A1616" s="19" t="n"/>
      <c r="B1616" s="19" t="n"/>
      <c r="C1616" s="19" t="n"/>
      <c r="D1616" s="19" t="n"/>
      <c r="E1616" s="19" t="n"/>
      <c r="F1616" s="19" t="n"/>
      <c r="G1616" s="19" t="n"/>
      <c r="H1616" s="19" t="n"/>
      <c r="I1616" s="19" t="n"/>
      <c r="J1616" s="19" t="n"/>
      <c r="K1616" s="19" t="n"/>
      <c r="L1616" s="19" t="n"/>
      <c r="M1616" s="19" t="n"/>
      <c r="N1616" s="19" t="n"/>
      <c r="O1616" s="19" t="n"/>
      <c r="P1616" s="19" t="n"/>
      <c r="Q1616" s="19" t="n"/>
      <c r="R1616" s="19" t="n"/>
      <c r="S1616" s="19" t="n"/>
    </row>
    <row r="1617">
      <c r="A1617" s="19" t="n"/>
      <c r="B1617" s="19" t="n"/>
      <c r="C1617" s="19" t="n"/>
      <c r="D1617" s="19" t="n"/>
      <c r="E1617" s="19" t="n"/>
      <c r="F1617" s="19" t="n"/>
      <c r="G1617" s="19" t="n"/>
      <c r="H1617" s="19" t="n"/>
      <c r="I1617" s="19" t="n"/>
      <c r="J1617" s="19" t="n"/>
      <c r="K1617" s="19" t="n"/>
      <c r="L1617" s="19" t="n"/>
      <c r="M1617" s="19" t="n"/>
      <c r="N1617" s="19" t="n"/>
      <c r="O1617" s="19" t="n"/>
      <c r="P1617" s="19" t="n"/>
      <c r="Q1617" s="19" t="n"/>
      <c r="R1617" s="19" t="n"/>
      <c r="S1617" s="19" t="n"/>
    </row>
    <row r="1618">
      <c r="A1618" s="19" t="n"/>
      <c r="B1618" s="19" t="n"/>
      <c r="C1618" s="19" t="n"/>
      <c r="D1618" s="19" t="n"/>
      <c r="E1618" s="19" t="n"/>
      <c r="F1618" s="19" t="n"/>
      <c r="G1618" s="19" t="n"/>
      <c r="H1618" s="19" t="n"/>
      <c r="I1618" s="19" t="n"/>
      <c r="J1618" s="19" t="n"/>
      <c r="K1618" s="19" t="n"/>
      <c r="L1618" s="19" t="n"/>
      <c r="M1618" s="19" t="n"/>
      <c r="N1618" s="19" t="n"/>
      <c r="O1618" s="19" t="n"/>
      <c r="P1618" s="19" t="n"/>
      <c r="Q1618" s="19" t="n"/>
      <c r="R1618" s="19" t="n"/>
      <c r="S1618" s="19" t="n"/>
    </row>
    <row r="1619">
      <c r="A1619" s="19" t="n"/>
      <c r="B1619" s="19" t="n"/>
      <c r="C1619" s="19" t="n"/>
      <c r="D1619" s="19" t="n"/>
      <c r="E1619" s="19" t="n"/>
      <c r="F1619" s="19" t="n"/>
      <c r="G1619" s="19" t="n"/>
      <c r="H1619" s="19" t="n"/>
      <c r="I1619" s="19" t="n"/>
      <c r="J1619" s="19" t="n"/>
      <c r="K1619" s="19" t="n"/>
      <c r="L1619" s="19" t="n"/>
      <c r="M1619" s="19" t="n"/>
      <c r="N1619" s="19" t="n"/>
      <c r="O1619" s="19" t="n"/>
      <c r="P1619" s="19" t="n"/>
      <c r="Q1619" s="19" t="n"/>
      <c r="R1619" s="19" t="n"/>
      <c r="S1619" s="19" t="n"/>
    </row>
    <row r="1620">
      <c r="A1620" s="19" t="n"/>
      <c r="B1620" s="19" t="n"/>
      <c r="C1620" s="19" t="n"/>
      <c r="D1620" s="19" t="n"/>
      <c r="E1620" s="19" t="n"/>
      <c r="F1620" s="19" t="n"/>
      <c r="G1620" s="19" t="n"/>
      <c r="H1620" s="19" t="n"/>
      <c r="I1620" s="19" t="n"/>
      <c r="J1620" s="19" t="n"/>
      <c r="K1620" s="19" t="n"/>
      <c r="L1620" s="19" t="n"/>
      <c r="M1620" s="19" t="n"/>
      <c r="N1620" s="19" t="n"/>
      <c r="O1620" s="19" t="n"/>
      <c r="P1620" s="19" t="n"/>
      <c r="Q1620" s="19" t="n"/>
      <c r="R1620" s="19" t="n"/>
      <c r="S1620" s="19" t="n"/>
    </row>
    <row r="1621">
      <c r="A1621" s="19" t="n"/>
      <c r="B1621" s="19" t="n"/>
      <c r="C1621" s="19" t="n"/>
      <c r="D1621" s="19" t="n"/>
      <c r="E1621" s="19" t="n"/>
      <c r="F1621" s="19" t="n"/>
      <c r="G1621" s="19" t="n"/>
      <c r="H1621" s="19" t="n"/>
      <c r="I1621" s="19" t="n"/>
      <c r="J1621" s="19" t="n"/>
      <c r="K1621" s="19" t="n"/>
      <c r="L1621" s="19" t="n"/>
      <c r="M1621" s="19" t="n"/>
      <c r="N1621" s="19" t="n"/>
      <c r="O1621" s="19" t="n"/>
      <c r="P1621" s="19" t="n"/>
      <c r="Q1621" s="19" t="n"/>
      <c r="R1621" s="19" t="n"/>
      <c r="S1621" s="19" t="n"/>
    </row>
    <row r="1622">
      <c r="A1622" s="19" t="n"/>
      <c r="B1622" s="19" t="n"/>
      <c r="C1622" s="19" t="n"/>
      <c r="D1622" s="19" t="n"/>
      <c r="E1622" s="19" t="n"/>
      <c r="F1622" s="19" t="n"/>
      <c r="G1622" s="19" t="n"/>
      <c r="H1622" s="19" t="n"/>
      <c r="I1622" s="19" t="n"/>
      <c r="J1622" s="19" t="n"/>
      <c r="K1622" s="19" t="n"/>
      <c r="L1622" s="19" t="n"/>
      <c r="M1622" s="19" t="n"/>
      <c r="N1622" s="19" t="n"/>
      <c r="O1622" s="19" t="n"/>
      <c r="P1622" s="19" t="n"/>
      <c r="Q1622" s="19" t="n"/>
      <c r="R1622" s="19" t="n"/>
      <c r="S1622" s="19" t="n"/>
    </row>
    <row r="1623">
      <c r="A1623" s="19" t="n"/>
      <c r="B1623" s="19" t="n"/>
      <c r="C1623" s="19" t="n"/>
      <c r="D1623" s="19" t="n"/>
      <c r="E1623" s="19" t="n"/>
      <c r="F1623" s="19" t="n"/>
      <c r="G1623" s="19" t="n"/>
      <c r="H1623" s="19" t="n"/>
      <c r="I1623" s="19" t="n"/>
      <c r="J1623" s="19" t="n"/>
      <c r="K1623" s="19" t="n"/>
      <c r="L1623" s="19" t="n"/>
      <c r="M1623" s="19" t="n"/>
      <c r="N1623" s="19" t="n"/>
      <c r="O1623" s="19" t="n"/>
      <c r="P1623" s="19" t="n"/>
      <c r="Q1623" s="19" t="n"/>
      <c r="R1623" s="19" t="n"/>
      <c r="S1623" s="19" t="n"/>
    </row>
    <row r="1624">
      <c r="A1624" s="19" t="n"/>
      <c r="B1624" s="19" t="n"/>
      <c r="C1624" s="19" t="n"/>
      <c r="D1624" s="19" t="n"/>
      <c r="E1624" s="19" t="n"/>
      <c r="F1624" s="19" t="n"/>
      <c r="G1624" s="19" t="n"/>
      <c r="H1624" s="19" t="n"/>
      <c r="I1624" s="19" t="n"/>
      <c r="J1624" s="19" t="n"/>
      <c r="K1624" s="19" t="n"/>
      <c r="L1624" s="19" t="n"/>
      <c r="M1624" s="19" t="n"/>
      <c r="N1624" s="19" t="n"/>
      <c r="O1624" s="19" t="n"/>
      <c r="P1624" s="19" t="n"/>
      <c r="Q1624" s="19" t="n"/>
      <c r="R1624" s="19" t="n"/>
      <c r="S1624" s="19" t="n"/>
    </row>
    <row r="1625">
      <c r="A1625" s="19" t="n"/>
      <c r="B1625" s="19" t="n"/>
      <c r="C1625" s="19" t="n"/>
      <c r="D1625" s="19" t="n"/>
      <c r="E1625" s="19" t="n"/>
      <c r="F1625" s="19" t="n"/>
      <c r="G1625" s="19" t="n"/>
      <c r="H1625" s="19" t="n"/>
      <c r="I1625" s="19" t="n"/>
      <c r="J1625" s="19" t="n"/>
      <c r="K1625" s="19" t="n"/>
      <c r="L1625" s="19" t="n"/>
      <c r="M1625" s="19" t="n"/>
      <c r="N1625" s="19" t="n"/>
      <c r="O1625" s="19" t="n"/>
      <c r="P1625" s="19" t="n"/>
      <c r="Q1625" s="19" t="n"/>
      <c r="R1625" s="19" t="n"/>
      <c r="S1625" s="19" t="n"/>
    </row>
    <row r="1626">
      <c r="A1626" s="19" t="n"/>
      <c r="B1626" s="19" t="n"/>
      <c r="C1626" s="19" t="n"/>
      <c r="D1626" s="19" t="n"/>
      <c r="E1626" s="19" t="n"/>
      <c r="F1626" s="19" t="n"/>
      <c r="G1626" s="19" t="n"/>
      <c r="H1626" s="19" t="n"/>
      <c r="I1626" s="19" t="n"/>
      <c r="J1626" s="19" t="n"/>
      <c r="K1626" s="19" t="n"/>
      <c r="L1626" s="19" t="n"/>
      <c r="M1626" s="19" t="n"/>
      <c r="N1626" s="19" t="n"/>
      <c r="O1626" s="19" t="n"/>
      <c r="P1626" s="19" t="n"/>
      <c r="Q1626" s="19" t="n"/>
      <c r="R1626" s="19" t="n"/>
      <c r="S1626" s="19" t="n"/>
    </row>
    <row r="1627">
      <c r="A1627" s="19" t="n"/>
      <c r="B1627" s="19" t="n"/>
      <c r="C1627" s="19" t="n"/>
      <c r="D1627" s="19" t="n"/>
      <c r="E1627" s="19" t="n"/>
      <c r="F1627" s="19" t="n"/>
      <c r="G1627" s="19" t="n"/>
      <c r="H1627" s="19" t="n"/>
      <c r="I1627" s="19" t="n"/>
      <c r="J1627" s="19" t="n"/>
      <c r="K1627" s="19" t="n"/>
      <c r="L1627" s="19" t="n"/>
      <c r="M1627" s="19" t="n"/>
      <c r="N1627" s="19" t="n"/>
      <c r="O1627" s="19" t="n"/>
      <c r="P1627" s="19" t="n"/>
      <c r="Q1627" s="19" t="n"/>
      <c r="R1627" s="19" t="n"/>
      <c r="S1627" s="19" t="n"/>
    </row>
    <row r="1628">
      <c r="A1628" s="19" t="n"/>
      <c r="B1628" s="19" t="n"/>
      <c r="C1628" s="19" t="n"/>
      <c r="D1628" s="19" t="n"/>
      <c r="E1628" s="19" t="n"/>
      <c r="F1628" s="19" t="n"/>
      <c r="G1628" s="19" t="n"/>
      <c r="H1628" s="19" t="n"/>
      <c r="I1628" s="19" t="n"/>
      <c r="J1628" s="19" t="n"/>
      <c r="K1628" s="19" t="n"/>
      <c r="L1628" s="19" t="n"/>
      <c r="M1628" s="19" t="n"/>
      <c r="N1628" s="19" t="n"/>
      <c r="O1628" s="19" t="n"/>
      <c r="P1628" s="19" t="n"/>
      <c r="Q1628" s="19" t="n"/>
      <c r="R1628" s="19" t="n"/>
      <c r="S1628" s="19" t="n"/>
    </row>
    <row r="1629">
      <c r="A1629" s="19" t="n"/>
      <c r="B1629" s="19" t="n"/>
      <c r="C1629" s="19" t="n"/>
      <c r="D1629" s="19" t="n"/>
      <c r="E1629" s="19" t="n"/>
      <c r="F1629" s="19" t="n"/>
      <c r="G1629" s="19" t="n"/>
      <c r="H1629" s="19" t="n"/>
      <c r="I1629" s="19" t="n"/>
      <c r="J1629" s="19" t="n"/>
      <c r="K1629" s="19" t="n"/>
      <c r="L1629" s="19" t="n"/>
      <c r="M1629" s="19" t="n"/>
      <c r="N1629" s="19" t="n"/>
      <c r="O1629" s="19" t="n"/>
      <c r="P1629" s="19" t="n"/>
      <c r="Q1629" s="19" t="n"/>
      <c r="R1629" s="19" t="n"/>
      <c r="S1629" s="19" t="n"/>
    </row>
    <row r="1630">
      <c r="A1630" s="19" t="n"/>
      <c r="B1630" s="19" t="n"/>
      <c r="C1630" s="19" t="n"/>
      <c r="D1630" s="19" t="n"/>
      <c r="E1630" s="19" t="n"/>
      <c r="F1630" s="19" t="n"/>
      <c r="G1630" s="19" t="n"/>
      <c r="H1630" s="19" t="n"/>
      <c r="I1630" s="19" t="n"/>
      <c r="J1630" s="19" t="n"/>
      <c r="K1630" s="19" t="n"/>
      <c r="L1630" s="19" t="n"/>
      <c r="M1630" s="19" t="n"/>
      <c r="N1630" s="19" t="n"/>
      <c r="O1630" s="19" t="n"/>
      <c r="P1630" s="19" t="n"/>
      <c r="Q1630" s="19" t="n"/>
      <c r="R1630" s="19" t="n"/>
      <c r="S1630" s="19" t="n"/>
    </row>
    <row r="1631">
      <c r="A1631" s="19" t="n"/>
      <c r="B1631" s="19" t="n"/>
      <c r="C1631" s="19" t="n"/>
      <c r="D1631" s="19" t="n"/>
      <c r="E1631" s="19" t="n"/>
      <c r="F1631" s="19" t="n"/>
      <c r="G1631" s="19" t="n"/>
      <c r="H1631" s="19" t="n"/>
      <c r="I1631" s="19" t="n"/>
      <c r="J1631" s="19" t="n"/>
      <c r="K1631" s="19" t="n"/>
      <c r="L1631" s="19" t="n"/>
      <c r="M1631" s="19" t="n"/>
      <c r="N1631" s="19" t="n"/>
      <c r="O1631" s="19" t="n"/>
      <c r="P1631" s="19" t="n"/>
      <c r="Q1631" s="19" t="n"/>
      <c r="R1631" s="19" t="n"/>
      <c r="S1631" s="19" t="n"/>
    </row>
    <row r="1632">
      <c r="A1632" s="19" t="n"/>
      <c r="B1632" s="19" t="n"/>
      <c r="C1632" s="19" t="n"/>
      <c r="D1632" s="19" t="n"/>
      <c r="E1632" s="19" t="n"/>
      <c r="F1632" s="19" t="n"/>
      <c r="G1632" s="19" t="n"/>
      <c r="H1632" s="19" t="n"/>
      <c r="I1632" s="19" t="n"/>
      <c r="J1632" s="19" t="n"/>
      <c r="K1632" s="19" t="n"/>
      <c r="L1632" s="19" t="n"/>
      <c r="M1632" s="19" t="n"/>
      <c r="N1632" s="19" t="n"/>
      <c r="O1632" s="19" t="n"/>
      <c r="P1632" s="19" t="n"/>
      <c r="Q1632" s="19" t="n"/>
      <c r="R1632" s="19" t="n"/>
      <c r="S1632" s="19" t="n"/>
    </row>
    <row r="1633">
      <c r="A1633" s="19" t="n"/>
      <c r="B1633" s="19" t="n"/>
      <c r="C1633" s="19" t="n"/>
      <c r="D1633" s="19" t="n"/>
      <c r="E1633" s="19" t="n"/>
      <c r="F1633" s="19" t="n"/>
      <c r="G1633" s="19" t="n"/>
      <c r="H1633" s="19" t="n"/>
      <c r="I1633" s="19" t="n"/>
      <c r="J1633" s="19" t="n"/>
      <c r="K1633" s="19" t="n"/>
      <c r="L1633" s="19" t="n"/>
      <c r="M1633" s="19" t="n"/>
      <c r="N1633" s="19" t="n"/>
      <c r="O1633" s="19" t="n"/>
      <c r="P1633" s="19" t="n"/>
      <c r="Q1633" s="19" t="n"/>
      <c r="R1633" s="19" t="n"/>
      <c r="S1633" s="19" t="n"/>
    </row>
    <row r="1634">
      <c r="A1634" s="19" t="n"/>
      <c r="B1634" s="19" t="n"/>
      <c r="C1634" s="19" t="n"/>
      <c r="D1634" s="19" t="n"/>
      <c r="E1634" s="19" t="n"/>
      <c r="F1634" s="19" t="n"/>
      <c r="G1634" s="19" t="n"/>
      <c r="H1634" s="19" t="n"/>
      <c r="I1634" s="19" t="n"/>
      <c r="J1634" s="19" t="n"/>
      <c r="K1634" s="19" t="n"/>
      <c r="L1634" s="19" t="n"/>
      <c r="M1634" s="19" t="n"/>
      <c r="N1634" s="19" t="n"/>
      <c r="O1634" s="19" t="n"/>
      <c r="P1634" s="19" t="n"/>
      <c r="Q1634" s="19" t="n"/>
      <c r="R1634" s="19" t="n"/>
      <c r="S1634" s="19" t="n"/>
    </row>
    <row r="1635">
      <c r="A1635" s="19" t="n"/>
      <c r="B1635" s="19" t="n"/>
      <c r="C1635" s="19" t="n"/>
      <c r="D1635" s="19" t="n"/>
      <c r="E1635" s="19" t="n"/>
      <c r="F1635" s="19" t="n"/>
      <c r="G1635" s="19" t="n"/>
      <c r="H1635" s="19" t="n"/>
      <c r="I1635" s="19" t="n"/>
      <c r="J1635" s="19" t="n"/>
      <c r="K1635" s="19" t="n"/>
      <c r="L1635" s="19" t="n"/>
      <c r="M1635" s="19" t="n"/>
      <c r="N1635" s="19" t="n"/>
      <c r="O1635" s="19" t="n"/>
      <c r="P1635" s="19" t="n"/>
      <c r="Q1635" s="19" t="n"/>
      <c r="R1635" s="19" t="n"/>
      <c r="S1635" s="19" t="n"/>
    </row>
    <row r="1636">
      <c r="A1636" s="19" t="n"/>
      <c r="B1636" s="19" t="n"/>
      <c r="C1636" s="19" t="n"/>
      <c r="D1636" s="19" t="n"/>
      <c r="E1636" s="19" t="n"/>
      <c r="F1636" s="19" t="n"/>
      <c r="G1636" s="19" t="n"/>
      <c r="H1636" s="19" t="n"/>
      <c r="I1636" s="19" t="n"/>
      <c r="J1636" s="19" t="n"/>
      <c r="K1636" s="19" t="n"/>
      <c r="L1636" s="19" t="n"/>
      <c r="M1636" s="19" t="n"/>
      <c r="N1636" s="19" t="n"/>
      <c r="O1636" s="19" t="n"/>
      <c r="P1636" s="19" t="n"/>
      <c r="Q1636" s="19" t="n"/>
      <c r="R1636" s="19" t="n"/>
      <c r="S1636" s="19" t="n"/>
    </row>
    <row r="1637">
      <c r="A1637" s="19" t="n"/>
      <c r="B1637" s="19" t="n"/>
      <c r="C1637" s="19" t="n"/>
      <c r="D1637" s="19" t="n"/>
      <c r="E1637" s="19" t="n"/>
      <c r="F1637" s="19" t="n"/>
      <c r="G1637" s="19" t="n"/>
      <c r="H1637" s="19" t="n"/>
      <c r="I1637" s="19" t="n"/>
      <c r="J1637" s="19" t="n"/>
      <c r="K1637" s="19" t="n"/>
      <c r="L1637" s="19" t="n"/>
      <c r="M1637" s="19" t="n"/>
      <c r="N1637" s="19" t="n"/>
      <c r="O1637" s="19" t="n"/>
      <c r="P1637" s="19" t="n"/>
      <c r="Q1637" s="19" t="n"/>
      <c r="R1637" s="19" t="n"/>
      <c r="S1637" s="19" t="n"/>
    </row>
    <row r="1638">
      <c r="A1638" s="19" t="n"/>
      <c r="B1638" s="19" t="n"/>
      <c r="C1638" s="19" t="n"/>
      <c r="D1638" s="19" t="n"/>
      <c r="E1638" s="19" t="n"/>
      <c r="F1638" s="19" t="n"/>
      <c r="G1638" s="19" t="n"/>
      <c r="H1638" s="19" t="n"/>
      <c r="I1638" s="19" t="n"/>
      <c r="J1638" s="19" t="n"/>
      <c r="K1638" s="19" t="n"/>
      <c r="L1638" s="19" t="n"/>
      <c r="M1638" s="19" t="n"/>
      <c r="N1638" s="19" t="n"/>
      <c r="O1638" s="19" t="n"/>
      <c r="P1638" s="19" t="n"/>
      <c r="Q1638" s="19" t="n"/>
      <c r="R1638" s="19" t="n"/>
      <c r="S1638" s="19" t="n"/>
    </row>
    <row r="1639">
      <c r="A1639" s="19" t="n"/>
      <c r="B1639" s="19" t="n"/>
      <c r="C1639" s="19" t="n"/>
      <c r="D1639" s="19" t="n"/>
      <c r="E1639" s="19" t="n"/>
      <c r="F1639" s="19" t="n"/>
      <c r="G1639" s="19" t="n"/>
      <c r="H1639" s="19" t="n"/>
      <c r="I1639" s="19" t="n"/>
      <c r="J1639" s="19" t="n"/>
      <c r="K1639" s="19" t="n"/>
      <c r="L1639" s="19" t="n"/>
      <c r="M1639" s="19" t="n"/>
      <c r="N1639" s="19" t="n"/>
      <c r="O1639" s="19" t="n"/>
      <c r="P1639" s="19" t="n"/>
      <c r="Q1639" s="19" t="n"/>
      <c r="R1639" s="19" t="n"/>
      <c r="S1639" s="19" t="n"/>
    </row>
    <row r="1640">
      <c r="A1640" s="19" t="n"/>
      <c r="B1640" s="19" t="n"/>
      <c r="C1640" s="19" t="n"/>
      <c r="D1640" s="19" t="n"/>
      <c r="E1640" s="19" t="n"/>
      <c r="F1640" s="19" t="n"/>
      <c r="G1640" s="19" t="n"/>
      <c r="H1640" s="19" t="n"/>
      <c r="I1640" s="19" t="n"/>
      <c r="J1640" s="19" t="n"/>
      <c r="K1640" s="19" t="n"/>
      <c r="L1640" s="19" t="n"/>
      <c r="M1640" s="19" t="n"/>
      <c r="N1640" s="19" t="n"/>
      <c r="O1640" s="19" t="n"/>
      <c r="P1640" s="19" t="n"/>
      <c r="Q1640" s="19" t="n"/>
      <c r="R1640" s="19" t="n"/>
      <c r="S1640" s="19" t="n"/>
    </row>
    <row r="1641">
      <c r="A1641" s="19" t="n"/>
      <c r="B1641" s="19" t="n"/>
      <c r="C1641" s="19" t="n"/>
      <c r="D1641" s="19" t="n"/>
      <c r="E1641" s="19" t="n"/>
      <c r="F1641" s="19" t="n"/>
      <c r="G1641" s="19" t="n"/>
      <c r="H1641" s="19" t="n"/>
      <c r="I1641" s="19" t="n"/>
      <c r="J1641" s="19" t="n"/>
      <c r="K1641" s="19" t="n"/>
      <c r="L1641" s="19" t="n"/>
      <c r="M1641" s="19" t="n"/>
      <c r="N1641" s="19" t="n"/>
      <c r="O1641" s="19" t="n"/>
      <c r="P1641" s="19" t="n"/>
      <c r="Q1641" s="19" t="n"/>
      <c r="R1641" s="19" t="n"/>
      <c r="S1641" s="19" t="n"/>
    </row>
    <row r="1642">
      <c r="A1642" s="19" t="n"/>
      <c r="B1642" s="19" t="n"/>
      <c r="C1642" s="19" t="n"/>
      <c r="D1642" s="19" t="n"/>
      <c r="E1642" s="19" t="n"/>
      <c r="F1642" s="19" t="n"/>
      <c r="G1642" s="19" t="n"/>
      <c r="H1642" s="19" t="n"/>
      <c r="I1642" s="19" t="n"/>
      <c r="J1642" s="19" t="n"/>
      <c r="K1642" s="19" t="n"/>
      <c r="L1642" s="19" t="n"/>
      <c r="M1642" s="19" t="n"/>
      <c r="N1642" s="19" t="n"/>
      <c r="O1642" s="19" t="n"/>
      <c r="P1642" s="19" t="n"/>
      <c r="Q1642" s="19" t="n"/>
      <c r="R1642" s="19" t="n"/>
      <c r="S1642" s="19" t="n"/>
    </row>
    <row r="1643">
      <c r="A1643" s="19" t="n"/>
      <c r="B1643" s="19" t="n"/>
      <c r="C1643" s="19" t="n"/>
      <c r="D1643" s="19" t="n"/>
      <c r="E1643" s="19" t="n"/>
      <c r="F1643" s="19" t="n"/>
      <c r="G1643" s="19" t="n"/>
      <c r="H1643" s="19" t="n"/>
      <c r="I1643" s="19" t="n"/>
      <c r="J1643" s="19" t="n"/>
      <c r="K1643" s="19" t="n"/>
      <c r="L1643" s="19" t="n"/>
      <c r="M1643" s="19" t="n"/>
      <c r="N1643" s="19" t="n"/>
      <c r="O1643" s="19" t="n"/>
      <c r="P1643" s="19" t="n"/>
      <c r="Q1643" s="19" t="n"/>
      <c r="R1643" s="19" t="n"/>
      <c r="S1643" s="19" t="n"/>
    </row>
    <row r="1644">
      <c r="A1644" s="19" t="n"/>
      <c r="B1644" s="19" t="n"/>
      <c r="C1644" s="19" t="n"/>
      <c r="D1644" s="19" t="n"/>
      <c r="E1644" s="19" t="n"/>
      <c r="F1644" s="19" t="n"/>
      <c r="G1644" s="19" t="n"/>
      <c r="H1644" s="19" t="n"/>
      <c r="I1644" s="19" t="n"/>
      <c r="J1644" s="19" t="n"/>
      <c r="K1644" s="19" t="n"/>
      <c r="L1644" s="19" t="n"/>
      <c r="M1644" s="19" t="n"/>
      <c r="N1644" s="19" t="n"/>
      <c r="O1644" s="19" t="n"/>
      <c r="P1644" s="19" t="n"/>
      <c r="Q1644" s="19" t="n"/>
      <c r="R1644" s="19" t="n"/>
      <c r="S1644" s="19" t="n"/>
    </row>
    <row r="1645">
      <c r="A1645" s="19" t="n"/>
      <c r="B1645" s="19" t="n"/>
      <c r="C1645" s="19" t="n"/>
      <c r="D1645" s="19" t="n"/>
      <c r="E1645" s="19" t="n"/>
      <c r="F1645" s="19" t="n"/>
      <c r="G1645" s="19" t="n"/>
      <c r="H1645" s="19" t="n"/>
      <c r="I1645" s="19" t="n"/>
      <c r="J1645" s="19" t="n"/>
      <c r="K1645" s="19" t="n"/>
      <c r="L1645" s="19" t="n"/>
      <c r="M1645" s="19" t="n"/>
      <c r="N1645" s="19" t="n"/>
      <c r="O1645" s="19" t="n"/>
      <c r="P1645" s="19" t="n"/>
      <c r="Q1645" s="19" t="n"/>
      <c r="R1645" s="19" t="n"/>
      <c r="S1645" s="19" t="n"/>
    </row>
    <row r="1646">
      <c r="A1646" s="19" t="n"/>
      <c r="B1646" s="19" t="n"/>
      <c r="C1646" s="19" t="n"/>
      <c r="D1646" s="19" t="n"/>
      <c r="E1646" s="19" t="n"/>
      <c r="F1646" s="19" t="n"/>
      <c r="G1646" s="19" t="n"/>
      <c r="H1646" s="19" t="n"/>
      <c r="I1646" s="19" t="n"/>
      <c r="J1646" s="19" t="n"/>
      <c r="K1646" s="19" t="n"/>
      <c r="L1646" s="19" t="n"/>
      <c r="M1646" s="19" t="n"/>
      <c r="N1646" s="19" t="n"/>
      <c r="O1646" s="19" t="n"/>
      <c r="P1646" s="19" t="n"/>
      <c r="Q1646" s="19" t="n"/>
      <c r="R1646" s="19" t="n"/>
      <c r="S1646" s="19" t="n"/>
    </row>
    <row r="1647">
      <c r="A1647" s="19" t="n"/>
      <c r="B1647" s="19" t="n"/>
      <c r="C1647" s="19" t="n"/>
      <c r="D1647" s="19" t="n"/>
      <c r="E1647" s="19" t="n"/>
      <c r="F1647" s="19" t="n"/>
      <c r="G1647" s="19" t="n"/>
      <c r="H1647" s="19" t="n"/>
      <c r="I1647" s="19" t="n"/>
      <c r="J1647" s="19" t="n"/>
      <c r="K1647" s="19" t="n"/>
      <c r="L1647" s="19" t="n"/>
      <c r="M1647" s="19" t="n"/>
      <c r="N1647" s="19" t="n"/>
      <c r="O1647" s="19" t="n"/>
      <c r="P1647" s="19" t="n"/>
      <c r="Q1647" s="19" t="n"/>
      <c r="R1647" s="19" t="n"/>
      <c r="S1647" s="19" t="n"/>
    </row>
    <row r="1648">
      <c r="A1648" s="19" t="n"/>
      <c r="B1648" s="19" t="n"/>
      <c r="C1648" s="19" t="n"/>
      <c r="D1648" s="19" t="n"/>
      <c r="E1648" s="19" t="n"/>
      <c r="F1648" s="19" t="n"/>
      <c r="G1648" s="19" t="n"/>
      <c r="H1648" s="19" t="n"/>
      <c r="I1648" s="19" t="n"/>
      <c r="J1648" s="19" t="n"/>
      <c r="K1648" s="19" t="n"/>
      <c r="L1648" s="19" t="n"/>
      <c r="M1648" s="19" t="n"/>
      <c r="N1648" s="19" t="n"/>
      <c r="O1648" s="19" t="n"/>
      <c r="P1648" s="19" t="n"/>
      <c r="Q1648" s="19" t="n"/>
      <c r="R1648" s="19" t="n"/>
      <c r="S1648" s="19" t="n"/>
    </row>
    <row r="1649">
      <c r="A1649" s="19" t="n"/>
      <c r="B1649" s="19" t="n"/>
      <c r="C1649" s="19" t="n"/>
      <c r="D1649" s="19" t="n"/>
      <c r="E1649" s="19" t="n"/>
      <c r="F1649" s="19" t="n"/>
      <c r="G1649" s="19" t="n"/>
      <c r="H1649" s="19" t="n"/>
      <c r="I1649" s="19" t="n"/>
      <c r="J1649" s="19" t="n"/>
      <c r="K1649" s="19" t="n"/>
      <c r="L1649" s="19" t="n"/>
      <c r="M1649" s="19" t="n"/>
      <c r="N1649" s="19" t="n"/>
      <c r="O1649" s="19" t="n"/>
      <c r="P1649" s="19" t="n"/>
      <c r="Q1649" s="19" t="n"/>
      <c r="R1649" s="19" t="n"/>
      <c r="S1649" s="19" t="n"/>
    </row>
    <row r="1650">
      <c r="A1650" s="19" t="n"/>
      <c r="B1650" s="19" t="n"/>
      <c r="C1650" s="19" t="n"/>
      <c r="D1650" s="19" t="n"/>
      <c r="E1650" s="19" t="n"/>
      <c r="F1650" s="19" t="n"/>
      <c r="G1650" s="19" t="n"/>
      <c r="H1650" s="19" t="n"/>
      <c r="I1650" s="19" t="n"/>
      <c r="J1650" s="19" t="n"/>
      <c r="K1650" s="19" t="n"/>
      <c r="L1650" s="19" t="n"/>
      <c r="M1650" s="19" t="n"/>
      <c r="N1650" s="19" t="n"/>
      <c r="O1650" s="19" t="n"/>
      <c r="P1650" s="19" t="n"/>
      <c r="Q1650" s="19" t="n"/>
      <c r="R1650" s="19" t="n"/>
      <c r="S1650" s="19" t="n"/>
    </row>
    <row r="1651">
      <c r="A1651" s="19" t="n"/>
      <c r="B1651" s="19" t="n"/>
      <c r="C1651" s="19" t="n"/>
      <c r="D1651" s="19" t="n"/>
      <c r="E1651" s="19" t="n"/>
      <c r="F1651" s="19" t="n"/>
      <c r="G1651" s="19" t="n"/>
      <c r="H1651" s="19" t="n"/>
      <c r="I1651" s="19" t="n"/>
      <c r="J1651" s="19" t="n"/>
      <c r="K1651" s="19" t="n"/>
      <c r="L1651" s="19" t="n"/>
      <c r="M1651" s="19" t="n"/>
      <c r="N1651" s="19" t="n"/>
      <c r="O1651" s="19" t="n"/>
      <c r="P1651" s="19" t="n"/>
      <c r="Q1651" s="19" t="n"/>
      <c r="R1651" s="19" t="n"/>
      <c r="S1651" s="19" t="n"/>
    </row>
    <row r="1652">
      <c r="A1652" s="19" t="n"/>
      <c r="B1652" s="19" t="n"/>
      <c r="C1652" s="19" t="n"/>
      <c r="D1652" s="19" t="n"/>
      <c r="E1652" s="19" t="n"/>
      <c r="F1652" s="19" t="n"/>
      <c r="G1652" s="19" t="n"/>
      <c r="H1652" s="19" t="n"/>
      <c r="I1652" s="19" t="n"/>
      <c r="J1652" s="19" t="n"/>
      <c r="K1652" s="19" t="n"/>
      <c r="L1652" s="19" t="n"/>
      <c r="M1652" s="19" t="n"/>
      <c r="N1652" s="19" t="n"/>
      <c r="O1652" s="19" t="n"/>
      <c r="P1652" s="19" t="n"/>
      <c r="Q1652" s="19" t="n"/>
      <c r="R1652" s="19" t="n"/>
      <c r="S1652" s="19" t="n"/>
    </row>
    <row r="1653">
      <c r="A1653" s="19" t="n"/>
      <c r="B1653" s="19" t="n"/>
      <c r="C1653" s="19" t="n"/>
      <c r="D1653" s="19" t="n"/>
      <c r="E1653" s="19" t="n"/>
      <c r="F1653" s="19" t="n"/>
      <c r="G1653" s="19" t="n"/>
      <c r="H1653" s="19" t="n"/>
      <c r="I1653" s="19" t="n"/>
      <c r="J1653" s="19" t="n"/>
      <c r="K1653" s="19" t="n"/>
      <c r="L1653" s="19" t="n"/>
      <c r="M1653" s="19" t="n"/>
      <c r="N1653" s="19" t="n"/>
      <c r="O1653" s="19" t="n"/>
      <c r="P1653" s="19" t="n"/>
      <c r="Q1653" s="19" t="n"/>
      <c r="R1653" s="19" t="n"/>
      <c r="S1653" s="19" t="n"/>
    </row>
    <row r="1654">
      <c r="A1654" s="19" t="n"/>
      <c r="B1654" s="19" t="n"/>
      <c r="C1654" s="19" t="n"/>
      <c r="D1654" s="19" t="n"/>
      <c r="E1654" s="19" t="n"/>
      <c r="F1654" s="19" t="n"/>
      <c r="G1654" s="19" t="n"/>
      <c r="H1654" s="19" t="n"/>
      <c r="I1654" s="19" t="n"/>
      <c r="J1654" s="19" t="n"/>
      <c r="K1654" s="19" t="n"/>
      <c r="L1654" s="19" t="n"/>
      <c r="M1654" s="19" t="n"/>
      <c r="N1654" s="19" t="n"/>
      <c r="O1654" s="19" t="n"/>
      <c r="P1654" s="19" t="n"/>
      <c r="Q1654" s="19" t="n"/>
      <c r="R1654" s="19" t="n"/>
      <c r="S1654" s="19" t="n"/>
    </row>
    <row r="1655">
      <c r="A1655" s="19" t="n"/>
      <c r="B1655" s="19" t="n"/>
      <c r="C1655" s="19" t="n"/>
      <c r="D1655" s="19" t="n"/>
      <c r="E1655" s="19" t="n"/>
      <c r="F1655" s="19" t="n"/>
      <c r="G1655" s="19" t="n"/>
      <c r="H1655" s="19" t="n"/>
      <c r="I1655" s="19" t="n"/>
      <c r="J1655" s="19" t="n"/>
      <c r="K1655" s="19" t="n"/>
      <c r="L1655" s="19" t="n"/>
      <c r="M1655" s="19" t="n"/>
      <c r="N1655" s="19" t="n"/>
      <c r="O1655" s="19" t="n"/>
      <c r="P1655" s="19" t="n"/>
      <c r="Q1655" s="19" t="n"/>
      <c r="R1655" s="19" t="n"/>
      <c r="S1655" s="19" t="n"/>
    </row>
    <row r="1656">
      <c r="A1656" s="19" t="n"/>
      <c r="B1656" s="19" t="n"/>
      <c r="C1656" s="19" t="n"/>
      <c r="D1656" s="19" t="n"/>
      <c r="E1656" s="19" t="n"/>
      <c r="F1656" s="19" t="n"/>
      <c r="G1656" s="19" t="n"/>
      <c r="H1656" s="19" t="n"/>
      <c r="I1656" s="19" t="n"/>
      <c r="J1656" s="19" t="n"/>
      <c r="K1656" s="19" t="n"/>
      <c r="L1656" s="19" t="n"/>
      <c r="M1656" s="19" t="n"/>
      <c r="N1656" s="19" t="n"/>
      <c r="O1656" s="19" t="n"/>
      <c r="P1656" s="19" t="n"/>
      <c r="Q1656" s="19" t="n"/>
      <c r="R1656" s="19" t="n"/>
      <c r="S1656" s="19" t="n"/>
    </row>
    <row r="1657">
      <c r="A1657" s="19" t="n"/>
      <c r="B1657" s="19" t="n"/>
      <c r="C1657" s="19" t="n"/>
      <c r="D1657" s="19" t="n"/>
      <c r="E1657" s="19" t="n"/>
      <c r="F1657" s="19" t="n"/>
      <c r="G1657" s="19" t="n"/>
      <c r="H1657" s="19" t="n"/>
      <c r="I1657" s="19" t="n"/>
      <c r="J1657" s="19" t="n"/>
      <c r="K1657" s="19" t="n"/>
      <c r="L1657" s="19" t="n"/>
      <c r="M1657" s="19" t="n"/>
      <c r="N1657" s="19" t="n"/>
      <c r="O1657" s="19" t="n"/>
      <c r="P1657" s="19" t="n"/>
      <c r="Q1657" s="19" t="n"/>
      <c r="R1657" s="19" t="n"/>
      <c r="S1657" s="19" t="n"/>
    </row>
    <row r="1658">
      <c r="A1658" s="19" t="n"/>
      <c r="B1658" s="19" t="n"/>
      <c r="C1658" s="19" t="n"/>
      <c r="D1658" s="19" t="n"/>
      <c r="E1658" s="19" t="n"/>
      <c r="F1658" s="19" t="n"/>
      <c r="G1658" s="19" t="n"/>
      <c r="H1658" s="19" t="n"/>
      <c r="I1658" s="19" t="n"/>
      <c r="J1658" s="19" t="n"/>
      <c r="K1658" s="19" t="n"/>
      <c r="L1658" s="19" t="n"/>
      <c r="M1658" s="19" t="n"/>
      <c r="N1658" s="19" t="n"/>
      <c r="O1658" s="19" t="n"/>
      <c r="P1658" s="19" t="n"/>
      <c r="Q1658" s="19" t="n"/>
      <c r="R1658" s="19" t="n"/>
      <c r="S1658" s="19" t="n"/>
    </row>
    <row r="1659">
      <c r="A1659" s="19" t="n"/>
      <c r="B1659" s="19" t="n"/>
      <c r="C1659" s="19" t="n"/>
      <c r="D1659" s="19" t="n"/>
      <c r="E1659" s="19" t="n"/>
      <c r="F1659" s="19" t="n"/>
      <c r="G1659" s="19" t="n"/>
      <c r="H1659" s="19" t="n"/>
      <c r="I1659" s="19" t="n"/>
      <c r="J1659" s="19" t="n"/>
      <c r="K1659" s="19" t="n"/>
      <c r="L1659" s="19" t="n"/>
      <c r="M1659" s="19" t="n"/>
      <c r="N1659" s="19" t="n"/>
      <c r="O1659" s="19" t="n"/>
      <c r="P1659" s="19" t="n"/>
      <c r="Q1659" s="19" t="n"/>
      <c r="R1659" s="19" t="n"/>
      <c r="S1659" s="19" t="n"/>
    </row>
    <row r="1660">
      <c r="A1660" s="19" t="n"/>
      <c r="B1660" s="19" t="n"/>
      <c r="C1660" s="19" t="n"/>
      <c r="D1660" s="19" t="n"/>
      <c r="E1660" s="19" t="n"/>
      <c r="F1660" s="19" t="n"/>
      <c r="G1660" s="19" t="n"/>
      <c r="H1660" s="19" t="n"/>
      <c r="I1660" s="19" t="n"/>
      <c r="J1660" s="19" t="n"/>
      <c r="K1660" s="19" t="n"/>
      <c r="L1660" s="19" t="n"/>
      <c r="M1660" s="19" t="n"/>
      <c r="N1660" s="19" t="n"/>
      <c r="O1660" s="19" t="n"/>
      <c r="P1660" s="19" t="n"/>
      <c r="Q1660" s="19" t="n"/>
      <c r="R1660" s="19" t="n"/>
      <c r="S1660" s="19" t="n"/>
    </row>
    <row r="1661">
      <c r="A1661" s="19" t="n"/>
      <c r="B1661" s="19" t="n"/>
      <c r="C1661" s="19" t="n"/>
      <c r="D1661" s="19" t="n"/>
      <c r="E1661" s="19" t="n"/>
      <c r="F1661" s="19" t="n"/>
      <c r="G1661" s="19" t="n"/>
      <c r="H1661" s="19" t="n"/>
      <c r="I1661" s="19" t="n"/>
      <c r="J1661" s="19" t="n"/>
      <c r="K1661" s="19" t="n"/>
      <c r="L1661" s="19" t="n"/>
      <c r="M1661" s="19" t="n"/>
      <c r="N1661" s="19" t="n"/>
      <c r="O1661" s="19" t="n"/>
      <c r="P1661" s="19" t="n"/>
      <c r="Q1661" s="19" t="n"/>
      <c r="R1661" s="19" t="n"/>
      <c r="S1661" s="19" t="n"/>
    </row>
    <row r="1662">
      <c r="A1662" s="19" t="n"/>
      <c r="B1662" s="19" t="n"/>
      <c r="C1662" s="19" t="n"/>
      <c r="D1662" s="19" t="n"/>
      <c r="E1662" s="19" t="n"/>
      <c r="F1662" s="19" t="n"/>
      <c r="G1662" s="19" t="n"/>
      <c r="H1662" s="19" t="n"/>
      <c r="I1662" s="19" t="n"/>
      <c r="J1662" s="19" t="n"/>
      <c r="K1662" s="19" t="n"/>
      <c r="L1662" s="19" t="n"/>
      <c r="M1662" s="19" t="n"/>
      <c r="N1662" s="19" t="n"/>
      <c r="O1662" s="19" t="n"/>
      <c r="P1662" s="19" t="n"/>
      <c r="Q1662" s="19" t="n"/>
      <c r="R1662" s="19" t="n"/>
      <c r="S1662" s="19" t="n"/>
    </row>
    <row r="1663">
      <c r="A1663" s="19" t="n"/>
      <c r="B1663" s="19" t="n"/>
      <c r="C1663" s="19" t="n"/>
      <c r="D1663" s="19" t="n"/>
      <c r="E1663" s="19" t="n"/>
      <c r="F1663" s="19" t="n"/>
      <c r="G1663" s="19" t="n"/>
      <c r="H1663" s="19" t="n"/>
      <c r="I1663" s="19" t="n"/>
      <c r="J1663" s="19" t="n"/>
      <c r="K1663" s="19" t="n"/>
      <c r="L1663" s="19" t="n"/>
      <c r="M1663" s="19" t="n"/>
      <c r="N1663" s="19" t="n"/>
      <c r="O1663" s="19" t="n"/>
      <c r="P1663" s="19" t="n"/>
      <c r="Q1663" s="19" t="n"/>
      <c r="R1663" s="19" t="n"/>
      <c r="S1663" s="19" t="n"/>
    </row>
    <row r="1664">
      <c r="A1664" s="19" t="n"/>
      <c r="B1664" s="19" t="n"/>
      <c r="C1664" s="19" t="n"/>
      <c r="D1664" s="19" t="n"/>
      <c r="E1664" s="19" t="n"/>
      <c r="F1664" s="19" t="n"/>
      <c r="G1664" s="19" t="n"/>
      <c r="H1664" s="19" t="n"/>
      <c r="I1664" s="19" t="n"/>
      <c r="J1664" s="19" t="n"/>
      <c r="K1664" s="19" t="n"/>
      <c r="L1664" s="19" t="n"/>
      <c r="M1664" s="19" t="n"/>
      <c r="N1664" s="19" t="n"/>
      <c r="O1664" s="19" t="n"/>
      <c r="P1664" s="19" t="n"/>
      <c r="Q1664" s="19" t="n"/>
      <c r="R1664" s="19" t="n"/>
      <c r="S1664" s="19" t="n"/>
    </row>
    <row r="1665">
      <c r="A1665" s="19" t="n"/>
      <c r="B1665" s="19" t="n"/>
      <c r="C1665" s="19" t="n"/>
      <c r="D1665" s="19" t="n"/>
      <c r="E1665" s="19" t="n"/>
      <c r="F1665" s="19" t="n"/>
      <c r="G1665" s="19" t="n"/>
      <c r="H1665" s="19" t="n"/>
      <c r="I1665" s="19" t="n"/>
      <c r="J1665" s="19" t="n"/>
      <c r="K1665" s="19" t="n"/>
      <c r="L1665" s="19" t="n"/>
      <c r="M1665" s="19" t="n"/>
      <c r="N1665" s="19" t="n"/>
      <c r="O1665" s="19" t="n"/>
      <c r="P1665" s="19" t="n"/>
      <c r="Q1665" s="19" t="n"/>
      <c r="R1665" s="19" t="n"/>
      <c r="S1665" s="19" t="n"/>
    </row>
    <row r="1666">
      <c r="A1666" s="19" t="n"/>
      <c r="B1666" s="19" t="n"/>
      <c r="C1666" s="19" t="n"/>
      <c r="D1666" s="19" t="n"/>
      <c r="E1666" s="19" t="n"/>
      <c r="F1666" s="19" t="n"/>
      <c r="G1666" s="19" t="n"/>
      <c r="H1666" s="19" t="n"/>
      <c r="I1666" s="19" t="n"/>
      <c r="J1666" s="19" t="n"/>
      <c r="K1666" s="19" t="n"/>
      <c r="L1666" s="19" t="n"/>
      <c r="M1666" s="19" t="n"/>
      <c r="N1666" s="19" t="n"/>
      <c r="O1666" s="19" t="n"/>
      <c r="P1666" s="19" t="n"/>
      <c r="Q1666" s="19" t="n"/>
      <c r="R1666" s="19" t="n"/>
      <c r="S1666" s="19" t="n"/>
    </row>
    <row r="1667">
      <c r="A1667" s="19" t="n"/>
      <c r="B1667" s="19" t="n"/>
      <c r="C1667" s="19" t="n"/>
      <c r="D1667" s="19" t="n"/>
      <c r="E1667" s="19" t="n"/>
      <c r="F1667" s="19" t="n"/>
      <c r="G1667" s="19" t="n"/>
      <c r="H1667" s="19" t="n"/>
      <c r="I1667" s="19" t="n"/>
      <c r="J1667" s="19" t="n"/>
      <c r="K1667" s="19" t="n"/>
      <c r="L1667" s="19" t="n"/>
      <c r="M1667" s="19" t="n"/>
      <c r="N1667" s="19" t="n"/>
      <c r="O1667" s="19" t="n"/>
      <c r="P1667" s="19" t="n"/>
      <c r="Q1667" s="19" t="n"/>
      <c r="R1667" s="19" t="n"/>
      <c r="S1667" s="19" t="n"/>
    </row>
    <row r="1668">
      <c r="A1668" s="19" t="n"/>
      <c r="B1668" s="19" t="n"/>
      <c r="C1668" s="19" t="n"/>
      <c r="D1668" s="19" t="n"/>
      <c r="E1668" s="19" t="n"/>
      <c r="F1668" s="19" t="n"/>
      <c r="G1668" s="19" t="n"/>
      <c r="H1668" s="19" t="n"/>
      <c r="I1668" s="19" t="n"/>
      <c r="J1668" s="19" t="n"/>
      <c r="K1668" s="19" t="n"/>
      <c r="L1668" s="19" t="n"/>
      <c r="M1668" s="19" t="n"/>
      <c r="N1668" s="19" t="n"/>
      <c r="O1668" s="19" t="n"/>
      <c r="P1668" s="19" t="n"/>
      <c r="Q1668" s="19" t="n"/>
      <c r="R1668" s="19" t="n"/>
      <c r="S1668" s="19" t="n"/>
    </row>
    <row r="1669">
      <c r="A1669" s="19" t="n"/>
      <c r="B1669" s="19" t="n"/>
      <c r="C1669" s="19" t="n"/>
      <c r="D1669" s="19" t="n"/>
      <c r="E1669" s="19" t="n"/>
      <c r="F1669" s="19" t="n"/>
      <c r="G1669" s="19" t="n"/>
      <c r="H1669" s="19" t="n"/>
      <c r="I1669" s="19" t="n"/>
      <c r="J1669" s="19" t="n"/>
      <c r="K1669" s="19" t="n"/>
      <c r="L1669" s="19" t="n"/>
      <c r="M1669" s="19" t="n"/>
      <c r="N1669" s="19" t="n"/>
      <c r="O1669" s="19" t="n"/>
      <c r="P1669" s="19" t="n"/>
      <c r="Q1669" s="19" t="n"/>
      <c r="R1669" s="19" t="n"/>
      <c r="S1669" s="19" t="n"/>
    </row>
    <row r="1670">
      <c r="A1670" s="19" t="n"/>
      <c r="B1670" s="19" t="n"/>
      <c r="C1670" s="19" t="n"/>
      <c r="D1670" s="19" t="n"/>
      <c r="E1670" s="19" t="n"/>
      <c r="F1670" s="19" t="n"/>
      <c r="G1670" s="19" t="n"/>
      <c r="H1670" s="19" t="n"/>
      <c r="I1670" s="19" t="n"/>
      <c r="J1670" s="19" t="n"/>
      <c r="K1670" s="19" t="n"/>
      <c r="L1670" s="19" t="n"/>
      <c r="M1670" s="19" t="n"/>
      <c r="N1670" s="19" t="n"/>
      <c r="O1670" s="19" t="n"/>
      <c r="P1670" s="19" t="n"/>
      <c r="Q1670" s="19" t="n"/>
      <c r="R1670" s="19" t="n"/>
      <c r="S1670" s="19" t="n"/>
    </row>
    <row r="1671">
      <c r="A1671" s="19" t="n"/>
      <c r="B1671" s="19" t="n"/>
      <c r="C1671" s="19" t="n"/>
      <c r="D1671" s="19" t="n"/>
      <c r="E1671" s="19" t="n"/>
      <c r="F1671" s="19" t="n"/>
      <c r="G1671" s="19" t="n"/>
      <c r="H1671" s="19" t="n"/>
      <c r="I1671" s="19" t="n"/>
      <c r="J1671" s="19" t="n"/>
      <c r="K1671" s="19" t="n"/>
      <c r="L1671" s="19" t="n"/>
      <c r="M1671" s="19" t="n"/>
      <c r="N1671" s="19" t="n"/>
      <c r="O1671" s="19" t="n"/>
      <c r="P1671" s="19" t="n"/>
      <c r="Q1671" s="19" t="n"/>
      <c r="R1671" s="19" t="n"/>
      <c r="S1671" s="19" t="n"/>
    </row>
    <row r="1672">
      <c r="A1672" s="19" t="n"/>
      <c r="B1672" s="19" t="n"/>
      <c r="C1672" s="19" t="n"/>
      <c r="D1672" s="19" t="n"/>
      <c r="E1672" s="19" t="n"/>
      <c r="F1672" s="19" t="n"/>
      <c r="G1672" s="19" t="n"/>
      <c r="H1672" s="19" t="n"/>
      <c r="I1672" s="19" t="n"/>
      <c r="J1672" s="19" t="n"/>
      <c r="K1672" s="19" t="n"/>
      <c r="L1672" s="19" t="n"/>
      <c r="M1672" s="19" t="n"/>
      <c r="N1672" s="19" t="n"/>
      <c r="O1672" s="19" t="n"/>
      <c r="P1672" s="19" t="n"/>
      <c r="Q1672" s="19" t="n"/>
      <c r="R1672" s="19" t="n"/>
      <c r="S1672" s="19" t="n"/>
    </row>
    <row r="1673">
      <c r="A1673" s="19" t="n"/>
      <c r="B1673" s="19" t="n"/>
      <c r="C1673" s="19" t="n"/>
      <c r="D1673" s="19" t="n"/>
      <c r="E1673" s="19" t="n"/>
      <c r="F1673" s="19" t="n"/>
      <c r="G1673" s="19" t="n"/>
      <c r="H1673" s="19" t="n"/>
      <c r="I1673" s="19" t="n"/>
      <c r="J1673" s="19" t="n"/>
      <c r="K1673" s="19" t="n"/>
      <c r="L1673" s="19" t="n"/>
      <c r="M1673" s="19" t="n"/>
      <c r="N1673" s="19" t="n"/>
      <c r="O1673" s="19" t="n"/>
      <c r="P1673" s="19" t="n"/>
      <c r="Q1673" s="19" t="n"/>
      <c r="R1673" s="19" t="n"/>
      <c r="S1673" s="19" t="n"/>
    </row>
    <row r="1674">
      <c r="A1674" s="19" t="n"/>
      <c r="B1674" s="19" t="n"/>
      <c r="C1674" s="19" t="n"/>
      <c r="D1674" s="19" t="n"/>
      <c r="E1674" s="19" t="n"/>
      <c r="F1674" s="19" t="n"/>
      <c r="G1674" s="19" t="n"/>
      <c r="H1674" s="19" t="n"/>
      <c r="I1674" s="19" t="n"/>
      <c r="J1674" s="19" t="n"/>
      <c r="K1674" s="19" t="n"/>
      <c r="L1674" s="19" t="n"/>
      <c r="M1674" s="19" t="n"/>
      <c r="N1674" s="19" t="n"/>
      <c r="O1674" s="19" t="n"/>
      <c r="P1674" s="19" t="n"/>
      <c r="Q1674" s="19" t="n"/>
      <c r="R1674" s="19" t="n"/>
      <c r="S1674" s="19" t="n"/>
    </row>
    <row r="1675">
      <c r="A1675" s="19" t="n"/>
      <c r="B1675" s="19" t="n"/>
      <c r="C1675" s="19" t="n"/>
      <c r="D1675" s="19" t="n"/>
      <c r="E1675" s="19" t="n"/>
      <c r="F1675" s="19" t="n"/>
      <c r="G1675" s="19" t="n"/>
      <c r="H1675" s="19" t="n"/>
      <c r="I1675" s="19" t="n"/>
      <c r="J1675" s="19" t="n"/>
      <c r="K1675" s="19" t="n"/>
      <c r="L1675" s="19" t="n"/>
      <c r="M1675" s="19" t="n"/>
      <c r="N1675" s="19" t="n"/>
      <c r="O1675" s="19" t="n"/>
      <c r="P1675" s="19" t="n"/>
      <c r="Q1675" s="19" t="n"/>
      <c r="R1675" s="19" t="n"/>
      <c r="S1675" s="19" t="n"/>
    </row>
    <row r="1676">
      <c r="A1676" s="19" t="n"/>
      <c r="B1676" s="19" t="n"/>
      <c r="C1676" s="19" t="n"/>
      <c r="D1676" s="19" t="n"/>
      <c r="E1676" s="19" t="n"/>
      <c r="F1676" s="19" t="n"/>
      <c r="G1676" s="19" t="n"/>
      <c r="H1676" s="19" t="n"/>
      <c r="I1676" s="19" t="n"/>
      <c r="J1676" s="19" t="n"/>
      <c r="K1676" s="19" t="n"/>
      <c r="L1676" s="19" t="n"/>
      <c r="M1676" s="19" t="n"/>
      <c r="N1676" s="19" t="n"/>
      <c r="O1676" s="19" t="n"/>
      <c r="P1676" s="19" t="n"/>
      <c r="Q1676" s="19" t="n"/>
      <c r="R1676" s="19" t="n"/>
      <c r="S1676" s="19" t="n"/>
    </row>
    <row r="1677">
      <c r="A1677" s="19" t="n"/>
      <c r="B1677" s="19" t="n"/>
      <c r="C1677" s="19" t="n"/>
      <c r="D1677" s="19" t="n"/>
      <c r="E1677" s="19" t="n"/>
      <c r="F1677" s="19" t="n"/>
      <c r="G1677" s="19" t="n"/>
      <c r="H1677" s="19" t="n"/>
      <c r="I1677" s="19" t="n"/>
      <c r="J1677" s="19" t="n"/>
      <c r="K1677" s="19" t="n"/>
      <c r="L1677" s="19" t="n"/>
      <c r="M1677" s="19" t="n"/>
      <c r="N1677" s="19" t="n"/>
      <c r="O1677" s="19" t="n"/>
      <c r="P1677" s="19" t="n"/>
      <c r="Q1677" s="19" t="n"/>
      <c r="R1677" s="19" t="n"/>
      <c r="S1677" s="19" t="n"/>
    </row>
    <row r="1678">
      <c r="A1678" s="19" t="n"/>
      <c r="B1678" s="19" t="n"/>
      <c r="C1678" s="19" t="n"/>
      <c r="D1678" s="19" t="n"/>
      <c r="E1678" s="19" t="n"/>
      <c r="F1678" s="19" t="n"/>
      <c r="G1678" s="19" t="n"/>
      <c r="H1678" s="19" t="n"/>
      <c r="I1678" s="19" t="n"/>
      <c r="J1678" s="19" t="n"/>
      <c r="K1678" s="19" t="n"/>
      <c r="L1678" s="19" t="n"/>
      <c r="M1678" s="19" t="n"/>
      <c r="N1678" s="19" t="n"/>
      <c r="O1678" s="19" t="n"/>
      <c r="P1678" s="19" t="n"/>
      <c r="Q1678" s="19" t="n"/>
      <c r="R1678" s="19" t="n"/>
      <c r="S1678" s="19" t="n"/>
    </row>
    <row r="1679">
      <c r="A1679" s="19" t="n"/>
      <c r="B1679" s="19" t="n"/>
      <c r="C1679" s="19" t="n"/>
      <c r="D1679" s="19" t="n"/>
      <c r="E1679" s="19" t="n"/>
      <c r="F1679" s="19" t="n"/>
      <c r="G1679" s="19" t="n"/>
      <c r="H1679" s="19" t="n"/>
      <c r="I1679" s="19" t="n"/>
      <c r="J1679" s="19" t="n"/>
      <c r="K1679" s="19" t="n"/>
      <c r="L1679" s="19" t="n"/>
      <c r="M1679" s="19" t="n"/>
      <c r="N1679" s="19" t="n"/>
      <c r="O1679" s="19" t="n"/>
      <c r="P1679" s="19" t="n"/>
      <c r="Q1679" s="19" t="n"/>
      <c r="R1679" s="19" t="n"/>
      <c r="S1679" s="19" t="n"/>
    </row>
    <row r="1680">
      <c r="A1680" s="19" t="n"/>
      <c r="B1680" s="19" t="n"/>
      <c r="C1680" s="19" t="n"/>
      <c r="D1680" s="19" t="n"/>
      <c r="E1680" s="19" t="n"/>
      <c r="F1680" s="19" t="n"/>
      <c r="G1680" s="19" t="n"/>
      <c r="H1680" s="19" t="n"/>
      <c r="I1680" s="19" t="n"/>
      <c r="J1680" s="19" t="n"/>
      <c r="K1680" s="19" t="n"/>
      <c r="L1680" s="19" t="n"/>
      <c r="M1680" s="19" t="n"/>
      <c r="N1680" s="19" t="n"/>
      <c r="O1680" s="19" t="n"/>
      <c r="P1680" s="19" t="n"/>
      <c r="Q1680" s="19" t="n"/>
      <c r="R1680" s="19" t="n"/>
      <c r="S1680" s="19" t="n"/>
    </row>
    <row r="1681">
      <c r="A1681" s="19" t="n"/>
      <c r="B1681" s="19" t="n"/>
      <c r="C1681" s="19" t="n"/>
      <c r="D1681" s="19" t="n"/>
      <c r="E1681" s="19" t="n"/>
      <c r="F1681" s="19" t="n"/>
      <c r="G1681" s="19" t="n"/>
      <c r="H1681" s="19" t="n"/>
      <c r="I1681" s="19" t="n"/>
      <c r="J1681" s="19" t="n"/>
      <c r="K1681" s="19" t="n"/>
      <c r="L1681" s="19" t="n"/>
      <c r="M1681" s="19" t="n"/>
      <c r="N1681" s="19" t="n"/>
      <c r="O1681" s="19" t="n"/>
      <c r="P1681" s="19" t="n"/>
      <c r="Q1681" s="19" t="n"/>
      <c r="R1681" s="19" t="n"/>
      <c r="S1681" s="19" t="n"/>
    </row>
    <row r="1682">
      <c r="A1682" s="19" t="n"/>
      <c r="B1682" s="19" t="n"/>
      <c r="C1682" s="19" t="n"/>
      <c r="D1682" s="19" t="n"/>
      <c r="E1682" s="19" t="n"/>
      <c r="F1682" s="19" t="n"/>
      <c r="G1682" s="19" t="n"/>
      <c r="H1682" s="19" t="n"/>
      <c r="I1682" s="19" t="n"/>
      <c r="J1682" s="19" t="n"/>
      <c r="K1682" s="19" t="n"/>
      <c r="L1682" s="19" t="n"/>
      <c r="M1682" s="19" t="n"/>
      <c r="N1682" s="19" t="n"/>
      <c r="O1682" s="19" t="n"/>
      <c r="P1682" s="19" t="n"/>
      <c r="Q1682" s="19" t="n"/>
      <c r="R1682" s="19" t="n"/>
      <c r="S1682" s="19" t="n"/>
    </row>
    <row r="1683">
      <c r="A1683" s="19" t="n"/>
      <c r="B1683" s="19" t="n"/>
      <c r="C1683" s="19" t="n"/>
      <c r="D1683" s="19" t="n"/>
      <c r="E1683" s="19" t="n"/>
      <c r="F1683" s="19" t="n"/>
      <c r="G1683" s="19" t="n"/>
      <c r="H1683" s="19" t="n"/>
      <c r="I1683" s="19" t="n"/>
      <c r="J1683" s="19" t="n"/>
      <c r="K1683" s="19" t="n"/>
      <c r="L1683" s="19" t="n"/>
      <c r="M1683" s="19" t="n"/>
      <c r="N1683" s="19" t="n"/>
      <c r="O1683" s="19" t="n"/>
      <c r="P1683" s="19" t="n"/>
      <c r="Q1683" s="19" t="n"/>
      <c r="R1683" s="19" t="n"/>
      <c r="S1683" s="19" t="n"/>
    </row>
    <row r="1684">
      <c r="A1684" s="19" t="n"/>
      <c r="B1684" s="19" t="n"/>
      <c r="C1684" s="19" t="n"/>
      <c r="D1684" s="19" t="n"/>
      <c r="E1684" s="19" t="n"/>
      <c r="F1684" s="19" t="n"/>
      <c r="G1684" s="19" t="n"/>
      <c r="H1684" s="19" t="n"/>
      <c r="I1684" s="19" t="n"/>
      <c r="J1684" s="19" t="n"/>
      <c r="K1684" s="19" t="n"/>
      <c r="L1684" s="19" t="n"/>
      <c r="M1684" s="19" t="n"/>
      <c r="N1684" s="19" t="n"/>
      <c r="O1684" s="19" t="n"/>
      <c r="P1684" s="19" t="n"/>
      <c r="Q1684" s="19" t="n"/>
      <c r="R1684" s="19" t="n"/>
      <c r="S1684" s="19" t="n"/>
    </row>
    <row r="1685">
      <c r="A1685" s="19" t="n"/>
      <c r="B1685" s="19" t="n"/>
      <c r="C1685" s="19" t="n"/>
      <c r="D1685" s="19" t="n"/>
      <c r="E1685" s="19" t="n"/>
      <c r="F1685" s="19" t="n"/>
      <c r="G1685" s="19" t="n"/>
      <c r="H1685" s="19" t="n"/>
      <c r="I1685" s="19" t="n"/>
      <c r="J1685" s="19" t="n"/>
      <c r="K1685" s="19" t="n"/>
      <c r="L1685" s="19" t="n"/>
      <c r="M1685" s="19" t="n"/>
      <c r="N1685" s="19" t="n"/>
      <c r="O1685" s="19" t="n"/>
      <c r="P1685" s="19" t="n"/>
      <c r="Q1685" s="19" t="n"/>
      <c r="R1685" s="19" t="n"/>
      <c r="S1685" s="19" t="n"/>
    </row>
    <row r="1686">
      <c r="A1686" s="19" t="n"/>
      <c r="B1686" s="19" t="n"/>
      <c r="C1686" s="19" t="n"/>
      <c r="D1686" s="19" t="n"/>
      <c r="E1686" s="19" t="n"/>
      <c r="F1686" s="19" t="n"/>
      <c r="G1686" s="19" t="n"/>
      <c r="H1686" s="19" t="n"/>
      <c r="I1686" s="19" t="n"/>
      <c r="J1686" s="19" t="n"/>
      <c r="K1686" s="19" t="n"/>
      <c r="L1686" s="19" t="n"/>
      <c r="M1686" s="19" t="n"/>
      <c r="N1686" s="19" t="n"/>
      <c r="O1686" s="19" t="n"/>
      <c r="P1686" s="19" t="n"/>
      <c r="Q1686" s="19" t="n"/>
      <c r="R1686" s="19" t="n"/>
      <c r="S1686" s="19" t="n"/>
    </row>
    <row r="1687">
      <c r="A1687" s="19" t="n"/>
      <c r="B1687" s="19" t="n"/>
      <c r="C1687" s="19" t="n"/>
      <c r="D1687" s="19" t="n"/>
      <c r="E1687" s="19" t="n"/>
      <c r="F1687" s="19" t="n"/>
      <c r="G1687" s="19" t="n"/>
      <c r="H1687" s="19" t="n"/>
      <c r="I1687" s="19" t="n"/>
      <c r="J1687" s="19" t="n"/>
      <c r="K1687" s="19" t="n"/>
      <c r="L1687" s="19" t="n"/>
      <c r="M1687" s="19" t="n"/>
      <c r="N1687" s="19" t="n"/>
      <c r="O1687" s="19" t="n"/>
      <c r="P1687" s="19" t="n"/>
      <c r="Q1687" s="19" t="n"/>
      <c r="R1687" s="19" t="n"/>
      <c r="S1687" s="19" t="n"/>
    </row>
    <row r="1688">
      <c r="A1688" s="19" t="n"/>
      <c r="B1688" s="19" t="n"/>
      <c r="C1688" s="19" t="n"/>
      <c r="D1688" s="19" t="n"/>
      <c r="E1688" s="19" t="n"/>
      <c r="F1688" s="19" t="n"/>
      <c r="G1688" s="19" t="n"/>
      <c r="H1688" s="19" t="n"/>
      <c r="I1688" s="19" t="n"/>
      <c r="J1688" s="19" t="n"/>
      <c r="K1688" s="19" t="n"/>
      <c r="L1688" s="19" t="n"/>
      <c r="M1688" s="19" t="n"/>
      <c r="N1688" s="19" t="n"/>
      <c r="O1688" s="19" t="n"/>
      <c r="P1688" s="19" t="n"/>
      <c r="Q1688" s="19" t="n"/>
      <c r="R1688" s="19" t="n"/>
      <c r="S1688" s="19" t="n"/>
    </row>
    <row r="1689">
      <c r="A1689" s="19" t="n"/>
      <c r="B1689" s="19" t="n"/>
      <c r="C1689" s="19" t="n"/>
      <c r="D1689" s="19" t="n"/>
      <c r="E1689" s="19" t="n"/>
      <c r="F1689" s="19" t="n"/>
      <c r="G1689" s="19" t="n"/>
      <c r="H1689" s="19" t="n"/>
      <c r="I1689" s="19" t="n"/>
      <c r="J1689" s="19" t="n"/>
      <c r="K1689" s="19" t="n"/>
      <c r="L1689" s="19" t="n"/>
      <c r="M1689" s="19" t="n"/>
      <c r="N1689" s="19" t="n"/>
      <c r="O1689" s="19" t="n"/>
      <c r="P1689" s="19" t="n"/>
      <c r="Q1689" s="19" t="n"/>
      <c r="R1689" s="19" t="n"/>
      <c r="S1689" s="19" t="n"/>
    </row>
    <row r="1690">
      <c r="A1690" s="19" t="n"/>
      <c r="B1690" s="19" t="n"/>
      <c r="C1690" s="19" t="n"/>
      <c r="D1690" s="19" t="n"/>
      <c r="E1690" s="19" t="n"/>
      <c r="F1690" s="19" t="n"/>
      <c r="G1690" s="19" t="n"/>
      <c r="H1690" s="19" t="n"/>
      <c r="I1690" s="19" t="n"/>
      <c r="J1690" s="19" t="n"/>
      <c r="K1690" s="19" t="n"/>
      <c r="L1690" s="19" t="n"/>
      <c r="M1690" s="19" t="n"/>
      <c r="N1690" s="19" t="n"/>
      <c r="O1690" s="19" t="n"/>
      <c r="P1690" s="19" t="n"/>
      <c r="Q1690" s="19" t="n"/>
      <c r="R1690" s="19" t="n"/>
      <c r="S1690" s="19" t="n"/>
    </row>
    <row r="1691">
      <c r="A1691" s="19" t="n"/>
      <c r="B1691" s="19" t="n"/>
      <c r="C1691" s="19" t="n"/>
      <c r="D1691" s="19" t="n"/>
      <c r="E1691" s="19" t="n"/>
      <c r="F1691" s="19" t="n"/>
      <c r="G1691" s="19" t="n"/>
      <c r="H1691" s="19" t="n"/>
      <c r="I1691" s="19" t="n"/>
      <c r="J1691" s="19" t="n"/>
      <c r="K1691" s="19" t="n"/>
      <c r="L1691" s="19" t="n"/>
      <c r="M1691" s="19" t="n"/>
      <c r="N1691" s="19" t="n"/>
      <c r="O1691" s="19" t="n"/>
      <c r="P1691" s="19" t="n"/>
      <c r="Q1691" s="19" t="n"/>
      <c r="R1691" s="19" t="n"/>
      <c r="S1691" s="19" t="n"/>
    </row>
    <row r="1692">
      <c r="A1692" s="19" t="n"/>
      <c r="B1692" s="19" t="n"/>
      <c r="C1692" s="19" t="n"/>
      <c r="D1692" s="19" t="n"/>
      <c r="E1692" s="19" t="n"/>
      <c r="F1692" s="19" t="n"/>
      <c r="G1692" s="19" t="n"/>
      <c r="H1692" s="19" t="n"/>
      <c r="I1692" s="19" t="n"/>
      <c r="J1692" s="19" t="n"/>
      <c r="K1692" s="19" t="n"/>
      <c r="L1692" s="19" t="n"/>
      <c r="M1692" s="19" t="n"/>
      <c r="N1692" s="19" t="n"/>
      <c r="O1692" s="19" t="n"/>
      <c r="P1692" s="19" t="n"/>
      <c r="Q1692" s="19" t="n"/>
      <c r="R1692" s="19" t="n"/>
      <c r="S1692" s="19" t="n"/>
    </row>
    <row r="1693">
      <c r="A1693" s="19" t="n"/>
      <c r="B1693" s="19" t="n"/>
      <c r="C1693" s="19" t="n"/>
      <c r="D1693" s="19" t="n"/>
      <c r="E1693" s="19" t="n"/>
      <c r="F1693" s="19" t="n"/>
      <c r="G1693" s="19" t="n"/>
      <c r="H1693" s="19" t="n"/>
      <c r="I1693" s="19" t="n"/>
      <c r="J1693" s="19" t="n"/>
      <c r="K1693" s="19" t="n"/>
      <c r="L1693" s="19" t="n"/>
      <c r="M1693" s="19" t="n"/>
      <c r="N1693" s="19" t="n"/>
      <c r="O1693" s="19" t="n"/>
      <c r="P1693" s="19" t="n"/>
      <c r="Q1693" s="19" t="n"/>
      <c r="R1693" s="19" t="n"/>
      <c r="S1693" s="19" t="n"/>
    </row>
    <row r="1694">
      <c r="A1694" s="19" t="n"/>
      <c r="B1694" s="19" t="n"/>
      <c r="C1694" s="19" t="n"/>
      <c r="D1694" s="19" t="n"/>
      <c r="E1694" s="19" t="n"/>
      <c r="F1694" s="19" t="n"/>
      <c r="G1694" s="19" t="n"/>
      <c r="H1694" s="19" t="n"/>
      <c r="I1694" s="19" t="n"/>
      <c r="J1694" s="19" t="n"/>
      <c r="K1694" s="19" t="n"/>
      <c r="L1694" s="19" t="n"/>
      <c r="M1694" s="19" t="n"/>
      <c r="N1694" s="19" t="n"/>
      <c r="O1694" s="19" t="n"/>
      <c r="P1694" s="19" t="n"/>
      <c r="Q1694" s="19" t="n"/>
      <c r="R1694" s="19" t="n"/>
      <c r="S1694" s="19" t="n"/>
    </row>
    <row r="1695">
      <c r="A1695" s="19" t="n"/>
      <c r="B1695" s="19" t="n"/>
      <c r="C1695" s="19" t="n"/>
      <c r="D1695" s="19" t="n"/>
      <c r="E1695" s="19" t="n"/>
      <c r="F1695" s="19" t="n"/>
      <c r="G1695" s="19" t="n"/>
      <c r="H1695" s="19" t="n"/>
      <c r="I1695" s="19" t="n"/>
      <c r="J1695" s="19" t="n"/>
      <c r="K1695" s="19" t="n"/>
      <c r="L1695" s="19" t="n"/>
      <c r="M1695" s="19" t="n"/>
      <c r="N1695" s="19" t="n"/>
      <c r="O1695" s="19" t="n"/>
      <c r="P1695" s="19" t="n"/>
      <c r="Q1695" s="19" t="n"/>
      <c r="R1695" s="19" t="n"/>
      <c r="S1695" s="19" t="n"/>
    </row>
    <row r="1696">
      <c r="A1696" s="19" t="n"/>
      <c r="B1696" s="19" t="n"/>
      <c r="C1696" s="19" t="n"/>
      <c r="D1696" s="19" t="n"/>
      <c r="E1696" s="19" t="n"/>
      <c r="F1696" s="19" t="n"/>
      <c r="G1696" s="19" t="n"/>
      <c r="H1696" s="19" t="n"/>
      <c r="I1696" s="19" t="n"/>
      <c r="J1696" s="19" t="n"/>
      <c r="K1696" s="19" t="n"/>
      <c r="L1696" s="19" t="n"/>
      <c r="M1696" s="19" t="n"/>
      <c r="N1696" s="19" t="n"/>
      <c r="O1696" s="19" t="n"/>
      <c r="P1696" s="19" t="n"/>
      <c r="Q1696" s="19" t="n"/>
      <c r="R1696" s="19" t="n"/>
      <c r="S1696" s="19" t="n"/>
    </row>
    <row r="1697">
      <c r="A1697" s="19" t="n"/>
      <c r="B1697" s="19" t="n"/>
      <c r="C1697" s="19" t="n"/>
      <c r="D1697" s="19" t="n"/>
      <c r="E1697" s="19" t="n"/>
      <c r="F1697" s="19" t="n"/>
      <c r="G1697" s="19" t="n"/>
      <c r="H1697" s="19" t="n"/>
      <c r="I1697" s="19" t="n"/>
      <c r="J1697" s="19" t="n"/>
      <c r="K1697" s="19" t="n"/>
      <c r="L1697" s="19" t="n"/>
      <c r="M1697" s="19" t="n"/>
      <c r="N1697" s="19" t="n"/>
      <c r="O1697" s="19" t="n"/>
      <c r="P1697" s="19" t="n"/>
      <c r="Q1697" s="19" t="n"/>
      <c r="R1697" s="19" t="n"/>
      <c r="S1697" s="19" t="n"/>
    </row>
    <row r="1698">
      <c r="A1698" s="19" t="n"/>
      <c r="B1698" s="19" t="n"/>
      <c r="C1698" s="19" t="n"/>
      <c r="D1698" s="19" t="n"/>
      <c r="E1698" s="19" t="n"/>
      <c r="F1698" s="19" t="n"/>
      <c r="G1698" s="19" t="n"/>
      <c r="H1698" s="19" t="n"/>
      <c r="I1698" s="19" t="n"/>
      <c r="J1698" s="19" t="n"/>
      <c r="K1698" s="19" t="n"/>
      <c r="L1698" s="19" t="n"/>
      <c r="M1698" s="19" t="n"/>
      <c r="N1698" s="19" t="n"/>
      <c r="O1698" s="19" t="n"/>
      <c r="P1698" s="19" t="n"/>
      <c r="Q1698" s="19" t="n"/>
      <c r="R1698" s="19" t="n"/>
      <c r="S1698" s="19" t="n"/>
    </row>
    <row r="1699">
      <c r="A1699" s="19" t="n"/>
      <c r="B1699" s="19" t="n"/>
      <c r="C1699" s="19" t="n"/>
      <c r="D1699" s="19" t="n"/>
      <c r="E1699" s="19" t="n"/>
      <c r="F1699" s="19" t="n"/>
      <c r="G1699" s="19" t="n"/>
      <c r="H1699" s="19" t="n"/>
      <c r="I1699" s="19" t="n"/>
      <c r="J1699" s="19" t="n"/>
      <c r="K1699" s="19" t="n"/>
      <c r="L1699" s="19" t="n"/>
      <c r="M1699" s="19" t="n"/>
      <c r="N1699" s="19" t="n"/>
      <c r="O1699" s="19" t="n"/>
      <c r="P1699" s="19" t="n"/>
      <c r="Q1699" s="19" t="n"/>
      <c r="R1699" s="19" t="n"/>
      <c r="S1699" s="19" t="n"/>
    </row>
    <row r="1700">
      <c r="A1700" s="19" t="n"/>
      <c r="B1700" s="19" t="n"/>
      <c r="C1700" s="19" t="n"/>
      <c r="D1700" s="19" t="n"/>
      <c r="E1700" s="19" t="n"/>
      <c r="F1700" s="19" t="n"/>
      <c r="G1700" s="19" t="n"/>
      <c r="H1700" s="19" t="n"/>
      <c r="I1700" s="19" t="n"/>
      <c r="J1700" s="19" t="n"/>
      <c r="K1700" s="19" t="n"/>
      <c r="L1700" s="19" t="n"/>
      <c r="M1700" s="19" t="n"/>
      <c r="N1700" s="19" t="n"/>
      <c r="O1700" s="19" t="n"/>
      <c r="P1700" s="19" t="n"/>
      <c r="Q1700" s="19" t="n"/>
      <c r="R1700" s="19" t="n"/>
      <c r="S1700" s="19" t="n"/>
    </row>
    <row r="1701">
      <c r="A1701" s="19" t="n"/>
      <c r="B1701" s="19" t="n"/>
      <c r="C1701" s="19" t="n"/>
      <c r="D1701" s="19" t="n"/>
      <c r="E1701" s="19" t="n"/>
      <c r="F1701" s="19" t="n"/>
      <c r="G1701" s="19" t="n"/>
      <c r="H1701" s="19" t="n"/>
      <c r="I1701" s="19" t="n"/>
      <c r="J1701" s="19" t="n"/>
      <c r="K1701" s="19" t="n"/>
      <c r="L1701" s="19" t="n"/>
      <c r="M1701" s="19" t="n"/>
      <c r="N1701" s="19" t="n"/>
      <c r="O1701" s="19" t="n"/>
      <c r="P1701" s="19" t="n"/>
      <c r="Q1701" s="19" t="n"/>
      <c r="R1701" s="19" t="n"/>
      <c r="S1701" s="19" t="n"/>
    </row>
    <row r="1702">
      <c r="A1702" s="19" t="n"/>
      <c r="B1702" s="19" t="n"/>
      <c r="C1702" s="19" t="n"/>
      <c r="D1702" s="19" t="n"/>
      <c r="E1702" s="19" t="n"/>
      <c r="F1702" s="19" t="n"/>
      <c r="G1702" s="19" t="n"/>
      <c r="H1702" s="19" t="n"/>
      <c r="I1702" s="19" t="n"/>
      <c r="J1702" s="19" t="n"/>
      <c r="K1702" s="19" t="n"/>
      <c r="L1702" s="19" t="n"/>
      <c r="M1702" s="19" t="n"/>
      <c r="N1702" s="19" t="n"/>
      <c r="O1702" s="19" t="n"/>
      <c r="P1702" s="19" t="n"/>
      <c r="Q1702" s="19" t="n"/>
      <c r="R1702" s="19" t="n"/>
      <c r="S1702" s="19" t="n"/>
    </row>
    <row r="1703">
      <c r="A1703" s="19" t="n"/>
      <c r="B1703" s="19" t="n"/>
      <c r="C1703" s="19" t="n"/>
      <c r="D1703" s="19" t="n"/>
      <c r="E1703" s="19" t="n"/>
      <c r="F1703" s="19" t="n"/>
      <c r="G1703" s="19" t="n"/>
      <c r="H1703" s="19" t="n"/>
      <c r="I1703" s="19" t="n"/>
      <c r="J1703" s="19" t="n"/>
      <c r="K1703" s="19" t="n"/>
      <c r="L1703" s="19" t="n"/>
      <c r="M1703" s="19" t="n"/>
      <c r="N1703" s="19" t="n"/>
      <c r="O1703" s="19" t="n"/>
      <c r="P1703" s="19" t="n"/>
      <c r="Q1703" s="19" t="n"/>
      <c r="R1703" s="19" t="n"/>
      <c r="S1703" s="19" t="n"/>
    </row>
    <row r="1704">
      <c r="A1704" s="19" t="n"/>
      <c r="B1704" s="19" t="n"/>
      <c r="C1704" s="19" t="n"/>
      <c r="D1704" s="19" t="n"/>
      <c r="E1704" s="19" t="n"/>
      <c r="F1704" s="19" t="n"/>
      <c r="G1704" s="19" t="n"/>
      <c r="H1704" s="19" t="n"/>
      <c r="I1704" s="19" t="n"/>
      <c r="J1704" s="19" t="n"/>
      <c r="K1704" s="19" t="n"/>
      <c r="L1704" s="19" t="n"/>
      <c r="M1704" s="19" t="n"/>
      <c r="N1704" s="19" t="n"/>
      <c r="O1704" s="19" t="n"/>
      <c r="P1704" s="19" t="n"/>
      <c r="Q1704" s="19" t="n"/>
      <c r="R1704" s="19" t="n"/>
      <c r="S1704" s="19" t="n"/>
    </row>
    <row r="1705">
      <c r="A1705" s="19" t="n"/>
      <c r="B1705" s="19" t="n"/>
      <c r="C1705" s="19" t="n"/>
      <c r="D1705" s="19" t="n"/>
      <c r="E1705" s="19" t="n"/>
      <c r="F1705" s="19" t="n"/>
      <c r="G1705" s="19" t="n"/>
      <c r="H1705" s="19" t="n"/>
      <c r="I1705" s="19" t="n"/>
      <c r="J1705" s="19" t="n"/>
      <c r="K1705" s="19" t="n"/>
      <c r="L1705" s="19" t="n"/>
      <c r="M1705" s="19" t="n"/>
      <c r="N1705" s="19" t="n"/>
      <c r="O1705" s="19" t="n"/>
      <c r="P1705" s="19" t="n"/>
      <c r="Q1705" s="19" t="n"/>
      <c r="R1705" s="19" t="n"/>
      <c r="S1705" s="19" t="n"/>
    </row>
    <row r="1706">
      <c r="A1706" s="19" t="n"/>
      <c r="B1706" s="19" t="n"/>
      <c r="C1706" s="19" t="n"/>
      <c r="D1706" s="19" t="n"/>
      <c r="E1706" s="19" t="n"/>
      <c r="F1706" s="19" t="n"/>
      <c r="G1706" s="19" t="n"/>
      <c r="H1706" s="19" t="n"/>
      <c r="I1706" s="19" t="n"/>
      <c r="J1706" s="19" t="n"/>
      <c r="K1706" s="19" t="n"/>
      <c r="L1706" s="19" t="n"/>
      <c r="M1706" s="19" t="n"/>
      <c r="N1706" s="19" t="n"/>
      <c r="O1706" s="19" t="n"/>
      <c r="P1706" s="19" t="n"/>
      <c r="Q1706" s="19" t="n"/>
      <c r="R1706" s="19" t="n"/>
      <c r="S1706" s="19" t="n"/>
    </row>
    <row r="1707">
      <c r="A1707" s="19" t="n"/>
      <c r="B1707" s="19" t="n"/>
      <c r="C1707" s="19" t="n"/>
      <c r="D1707" s="19" t="n"/>
      <c r="E1707" s="19" t="n"/>
      <c r="F1707" s="19" t="n"/>
      <c r="G1707" s="19" t="n"/>
      <c r="H1707" s="19" t="n"/>
      <c r="I1707" s="19" t="n"/>
      <c r="J1707" s="19" t="n"/>
      <c r="K1707" s="19" t="n"/>
      <c r="L1707" s="19" t="n"/>
      <c r="M1707" s="19" t="n"/>
      <c r="N1707" s="19" t="n"/>
      <c r="O1707" s="19" t="n"/>
      <c r="P1707" s="19" t="n"/>
      <c r="Q1707" s="19" t="n"/>
      <c r="R1707" s="19" t="n"/>
      <c r="S1707" s="19" t="n"/>
    </row>
    <row r="1708">
      <c r="A1708" s="19" t="n"/>
      <c r="B1708" s="19" t="n"/>
      <c r="C1708" s="19" t="n"/>
      <c r="D1708" s="19" t="n"/>
      <c r="E1708" s="19" t="n"/>
      <c r="F1708" s="19" t="n"/>
      <c r="G1708" s="19" t="n"/>
      <c r="H1708" s="19" t="n"/>
      <c r="I1708" s="19" t="n"/>
      <c r="J1708" s="19" t="n"/>
      <c r="K1708" s="19" t="n"/>
      <c r="L1708" s="19" t="n"/>
      <c r="M1708" s="19" t="n"/>
      <c r="N1708" s="19" t="n"/>
      <c r="O1708" s="19" t="n"/>
      <c r="P1708" s="19" t="n"/>
      <c r="Q1708" s="19" t="n"/>
      <c r="R1708" s="19" t="n"/>
      <c r="S1708" s="19" t="n"/>
    </row>
    <row r="1709">
      <c r="A1709" s="19" t="n"/>
      <c r="B1709" s="19" t="n"/>
      <c r="C1709" s="19" t="n"/>
      <c r="D1709" s="19" t="n"/>
      <c r="E1709" s="19" t="n"/>
      <c r="F1709" s="19" t="n"/>
      <c r="G1709" s="19" t="n"/>
      <c r="H1709" s="19" t="n"/>
      <c r="I1709" s="19" t="n"/>
      <c r="J1709" s="19" t="n"/>
      <c r="K1709" s="19" t="n"/>
      <c r="L1709" s="19" t="n"/>
      <c r="M1709" s="19" t="n"/>
      <c r="N1709" s="19" t="n"/>
      <c r="O1709" s="19" t="n"/>
      <c r="P1709" s="19" t="n"/>
      <c r="Q1709" s="19" t="n"/>
      <c r="R1709" s="19" t="n"/>
      <c r="S1709" s="19" t="n"/>
    </row>
    <row r="1710">
      <c r="A1710" s="19" t="n"/>
      <c r="B1710" s="19" t="n"/>
      <c r="C1710" s="19" t="n"/>
      <c r="D1710" s="19" t="n"/>
      <c r="E1710" s="19" t="n"/>
      <c r="F1710" s="19" t="n"/>
      <c r="G1710" s="19" t="n"/>
      <c r="H1710" s="19" t="n"/>
      <c r="I1710" s="19" t="n"/>
      <c r="J1710" s="19" t="n"/>
      <c r="K1710" s="19" t="n"/>
      <c r="L1710" s="19" t="n"/>
      <c r="M1710" s="19" t="n"/>
      <c r="N1710" s="19" t="n"/>
      <c r="O1710" s="19" t="n"/>
      <c r="P1710" s="19" t="n"/>
      <c r="Q1710" s="19" t="n"/>
      <c r="R1710" s="19" t="n"/>
      <c r="S1710" s="19" t="n"/>
    </row>
    <row r="1711">
      <c r="A1711" s="19" t="n"/>
      <c r="B1711" s="19" t="n"/>
      <c r="C1711" s="19" t="n"/>
      <c r="D1711" s="19" t="n"/>
      <c r="E1711" s="19" t="n"/>
      <c r="F1711" s="19" t="n"/>
      <c r="G1711" s="19" t="n"/>
      <c r="H1711" s="19" t="n"/>
      <c r="I1711" s="19" t="n"/>
      <c r="J1711" s="19" t="n"/>
      <c r="K1711" s="19" t="n"/>
      <c r="L1711" s="19" t="n"/>
      <c r="M1711" s="19" t="n"/>
      <c r="N1711" s="19" t="n"/>
      <c r="O1711" s="19" t="n"/>
      <c r="P1711" s="19" t="n"/>
      <c r="Q1711" s="19" t="n"/>
      <c r="R1711" s="19" t="n"/>
      <c r="S1711" s="19" t="n"/>
    </row>
    <row r="1712">
      <c r="A1712" s="19" t="n"/>
      <c r="B1712" s="19" t="n"/>
      <c r="C1712" s="19" t="n"/>
      <c r="D1712" s="19" t="n"/>
      <c r="E1712" s="19" t="n"/>
      <c r="F1712" s="19" t="n"/>
      <c r="G1712" s="19" t="n"/>
      <c r="H1712" s="19" t="n"/>
      <c r="I1712" s="19" t="n"/>
      <c r="J1712" s="19" t="n"/>
      <c r="K1712" s="19" t="n"/>
      <c r="L1712" s="19" t="n"/>
      <c r="M1712" s="19" t="n"/>
      <c r="N1712" s="19" t="n"/>
      <c r="O1712" s="19" t="n"/>
      <c r="P1712" s="19" t="n"/>
      <c r="Q1712" s="19" t="n"/>
      <c r="R1712" s="19" t="n"/>
      <c r="S1712" s="19" t="n"/>
    </row>
    <row r="1713">
      <c r="A1713" s="19" t="n"/>
      <c r="B1713" s="19" t="n"/>
      <c r="C1713" s="19" t="n"/>
      <c r="D1713" s="19" t="n"/>
      <c r="E1713" s="19" t="n"/>
      <c r="F1713" s="19" t="n"/>
      <c r="G1713" s="19" t="n"/>
      <c r="H1713" s="19" t="n"/>
      <c r="I1713" s="19" t="n"/>
      <c r="J1713" s="19" t="n"/>
      <c r="K1713" s="19" t="n"/>
      <c r="L1713" s="19" t="n"/>
      <c r="M1713" s="19" t="n"/>
      <c r="N1713" s="19" t="n"/>
      <c r="O1713" s="19" t="n"/>
      <c r="P1713" s="19" t="n"/>
      <c r="Q1713" s="19" t="n"/>
      <c r="R1713" s="19" t="n"/>
      <c r="S1713" s="19" t="n"/>
    </row>
    <row r="1714">
      <c r="A1714" s="19" t="n"/>
      <c r="B1714" s="19" t="n"/>
      <c r="C1714" s="19" t="n"/>
      <c r="D1714" s="19" t="n"/>
      <c r="E1714" s="19" t="n"/>
      <c r="F1714" s="19" t="n"/>
      <c r="G1714" s="19" t="n"/>
      <c r="H1714" s="19" t="n"/>
      <c r="I1714" s="19" t="n"/>
      <c r="J1714" s="19" t="n"/>
      <c r="K1714" s="19" t="n"/>
      <c r="L1714" s="19" t="n"/>
      <c r="M1714" s="19" t="n"/>
      <c r="N1714" s="19" t="n"/>
      <c r="O1714" s="19" t="n"/>
      <c r="P1714" s="19" t="n"/>
      <c r="Q1714" s="19" t="n"/>
      <c r="R1714" s="19" t="n"/>
      <c r="S1714" s="19" t="n"/>
    </row>
    <row r="1715">
      <c r="A1715" s="19" t="n"/>
      <c r="B1715" s="19" t="n"/>
      <c r="C1715" s="19" t="n"/>
      <c r="D1715" s="19" t="n"/>
      <c r="E1715" s="19" t="n"/>
      <c r="F1715" s="19" t="n"/>
      <c r="G1715" s="19" t="n"/>
      <c r="H1715" s="19" t="n"/>
      <c r="I1715" s="19" t="n"/>
      <c r="J1715" s="19" t="n"/>
      <c r="K1715" s="19" t="n"/>
      <c r="L1715" s="19" t="n"/>
      <c r="M1715" s="19" t="n"/>
      <c r="N1715" s="19" t="n"/>
      <c r="O1715" s="19" t="n"/>
      <c r="P1715" s="19" t="n"/>
      <c r="Q1715" s="19" t="n"/>
      <c r="R1715" s="19" t="n"/>
      <c r="S1715" s="19" t="n"/>
    </row>
    <row r="1716">
      <c r="A1716" s="19" t="n"/>
      <c r="B1716" s="19" t="n"/>
      <c r="C1716" s="19" t="n"/>
      <c r="D1716" s="19" t="n"/>
      <c r="E1716" s="19" t="n"/>
      <c r="F1716" s="19" t="n"/>
      <c r="G1716" s="19" t="n"/>
      <c r="H1716" s="19" t="n"/>
      <c r="I1716" s="19" t="n"/>
      <c r="J1716" s="19" t="n"/>
      <c r="K1716" s="19" t="n"/>
      <c r="L1716" s="19" t="n"/>
      <c r="M1716" s="19" t="n"/>
      <c r="N1716" s="19" t="n"/>
      <c r="O1716" s="19" t="n"/>
      <c r="P1716" s="19" t="n"/>
      <c r="Q1716" s="19" t="n"/>
      <c r="R1716" s="19" t="n"/>
      <c r="S1716" s="19" t="n"/>
    </row>
    <row r="1717">
      <c r="A1717" s="19" t="n"/>
      <c r="B1717" s="19" t="n"/>
      <c r="C1717" s="19" t="n"/>
      <c r="D1717" s="19" t="n"/>
      <c r="E1717" s="19" t="n"/>
      <c r="F1717" s="19" t="n"/>
      <c r="G1717" s="19" t="n"/>
      <c r="H1717" s="19" t="n"/>
      <c r="I1717" s="19" t="n"/>
      <c r="J1717" s="19" t="n"/>
      <c r="K1717" s="19" t="n"/>
      <c r="L1717" s="19" t="n"/>
      <c r="M1717" s="19" t="n"/>
      <c r="N1717" s="19" t="n"/>
      <c r="O1717" s="19" t="n"/>
      <c r="P1717" s="19" t="n"/>
      <c r="Q1717" s="19" t="n"/>
      <c r="R1717" s="19" t="n"/>
      <c r="S1717" s="19" t="n"/>
    </row>
    <row r="1718">
      <c r="A1718" s="19" t="n"/>
      <c r="B1718" s="19" t="n"/>
      <c r="C1718" s="19" t="n"/>
      <c r="D1718" s="19" t="n"/>
      <c r="E1718" s="19" t="n"/>
      <c r="F1718" s="19" t="n"/>
      <c r="G1718" s="19" t="n"/>
      <c r="H1718" s="19" t="n"/>
      <c r="I1718" s="19" t="n"/>
      <c r="J1718" s="19" t="n"/>
      <c r="K1718" s="19" t="n"/>
      <c r="L1718" s="19" t="n"/>
      <c r="M1718" s="19" t="n"/>
      <c r="N1718" s="19" t="n"/>
      <c r="O1718" s="19" t="n"/>
      <c r="P1718" s="19" t="n"/>
      <c r="Q1718" s="19" t="n"/>
      <c r="R1718" s="19" t="n"/>
      <c r="S1718" s="19" t="n"/>
    </row>
    <row r="1719">
      <c r="A1719" s="19" t="n"/>
      <c r="B1719" s="19" t="n"/>
      <c r="C1719" s="19" t="n"/>
      <c r="D1719" s="19" t="n"/>
      <c r="E1719" s="19" t="n"/>
      <c r="F1719" s="19" t="n"/>
      <c r="G1719" s="19" t="n"/>
      <c r="H1719" s="19" t="n"/>
      <c r="I1719" s="19" t="n"/>
      <c r="J1719" s="19" t="n"/>
      <c r="K1719" s="19" t="n"/>
      <c r="L1719" s="19" t="n"/>
      <c r="M1719" s="19" t="n"/>
      <c r="N1719" s="19" t="n"/>
      <c r="O1719" s="19" t="n"/>
      <c r="P1719" s="19" t="n"/>
      <c r="Q1719" s="19" t="n"/>
      <c r="R1719" s="19" t="n"/>
      <c r="S1719" s="19" t="n"/>
    </row>
    <row r="1720">
      <c r="A1720" s="19" t="n"/>
      <c r="B1720" s="19" t="n"/>
      <c r="C1720" s="19" t="n"/>
      <c r="D1720" s="19" t="n"/>
      <c r="E1720" s="19" t="n"/>
      <c r="F1720" s="19" t="n"/>
      <c r="G1720" s="19" t="n"/>
      <c r="H1720" s="19" t="n"/>
      <c r="I1720" s="19" t="n"/>
      <c r="J1720" s="19" t="n"/>
      <c r="K1720" s="19" t="n"/>
      <c r="L1720" s="19" t="n"/>
      <c r="M1720" s="19" t="n"/>
      <c r="N1720" s="19" t="n"/>
      <c r="O1720" s="19" t="n"/>
      <c r="P1720" s="19" t="n"/>
      <c r="Q1720" s="19" t="n"/>
      <c r="R1720" s="19" t="n"/>
      <c r="S1720" s="19" t="n"/>
    </row>
    <row r="1721">
      <c r="A1721" s="19" t="n"/>
      <c r="B1721" s="19" t="n"/>
      <c r="C1721" s="19" t="n"/>
      <c r="D1721" s="19" t="n"/>
      <c r="E1721" s="19" t="n"/>
      <c r="F1721" s="19" t="n"/>
      <c r="G1721" s="19" t="n"/>
      <c r="H1721" s="19" t="n"/>
      <c r="I1721" s="19" t="n"/>
      <c r="J1721" s="19" t="n"/>
      <c r="K1721" s="19" t="n"/>
      <c r="L1721" s="19" t="n"/>
      <c r="M1721" s="19" t="n"/>
      <c r="N1721" s="19" t="n"/>
      <c r="O1721" s="19" t="n"/>
      <c r="P1721" s="19" t="n"/>
      <c r="Q1721" s="19" t="n"/>
      <c r="R1721" s="19" t="n"/>
      <c r="S1721" s="19" t="n"/>
    </row>
    <row r="1722">
      <c r="A1722" s="19" t="n"/>
      <c r="B1722" s="19" t="n"/>
      <c r="C1722" s="19" t="n"/>
      <c r="D1722" s="19" t="n"/>
      <c r="E1722" s="19" t="n"/>
      <c r="F1722" s="19" t="n"/>
      <c r="G1722" s="19" t="n"/>
      <c r="H1722" s="19" t="n"/>
      <c r="I1722" s="19" t="n"/>
      <c r="J1722" s="19" t="n"/>
      <c r="K1722" s="19" t="n"/>
      <c r="L1722" s="19" t="n"/>
      <c r="M1722" s="19" t="n"/>
      <c r="N1722" s="19" t="n"/>
      <c r="O1722" s="19" t="n"/>
      <c r="P1722" s="19" t="n"/>
      <c r="Q1722" s="19" t="n"/>
      <c r="R1722" s="19" t="n"/>
      <c r="S1722" s="19" t="n"/>
    </row>
    <row r="1723">
      <c r="A1723" s="19" t="n"/>
      <c r="B1723" s="19" t="n"/>
      <c r="C1723" s="19" t="n"/>
      <c r="D1723" s="19" t="n"/>
      <c r="E1723" s="19" t="n"/>
      <c r="F1723" s="19" t="n"/>
      <c r="G1723" s="19" t="n"/>
      <c r="H1723" s="19" t="n"/>
      <c r="I1723" s="19" t="n"/>
      <c r="J1723" s="19" t="n"/>
      <c r="K1723" s="19" t="n"/>
      <c r="L1723" s="19" t="n"/>
      <c r="M1723" s="19" t="n"/>
      <c r="N1723" s="19" t="n"/>
      <c r="O1723" s="19" t="n"/>
      <c r="P1723" s="19" t="n"/>
      <c r="Q1723" s="19" t="n"/>
      <c r="R1723" s="19" t="n"/>
      <c r="S1723" s="19" t="n"/>
    </row>
    <row r="1724">
      <c r="A1724" s="19" t="n"/>
      <c r="B1724" s="19" t="n"/>
      <c r="C1724" s="19" t="n"/>
      <c r="D1724" s="19" t="n"/>
      <c r="E1724" s="19" t="n"/>
      <c r="F1724" s="19" t="n"/>
      <c r="G1724" s="19" t="n"/>
      <c r="H1724" s="19" t="n"/>
      <c r="I1724" s="19" t="n"/>
      <c r="J1724" s="19" t="n"/>
      <c r="K1724" s="19" t="n"/>
      <c r="L1724" s="19" t="n"/>
      <c r="M1724" s="19" t="n"/>
      <c r="N1724" s="19" t="n"/>
      <c r="O1724" s="19" t="n"/>
      <c r="P1724" s="19" t="n"/>
      <c r="Q1724" s="19" t="n"/>
      <c r="R1724" s="19" t="n"/>
      <c r="S1724" s="19" t="n"/>
    </row>
    <row r="1725">
      <c r="A1725" s="19" t="n"/>
      <c r="B1725" s="19" t="n"/>
      <c r="C1725" s="19" t="n"/>
      <c r="D1725" s="19" t="n"/>
      <c r="E1725" s="19" t="n"/>
      <c r="F1725" s="19" t="n"/>
      <c r="G1725" s="19" t="n"/>
      <c r="H1725" s="19" t="n"/>
      <c r="I1725" s="19" t="n"/>
      <c r="J1725" s="19" t="n"/>
      <c r="K1725" s="19" t="n"/>
      <c r="L1725" s="19" t="n"/>
      <c r="M1725" s="19" t="n"/>
      <c r="N1725" s="19" t="n"/>
      <c r="O1725" s="19" t="n"/>
      <c r="P1725" s="19" t="n"/>
      <c r="Q1725" s="19" t="n"/>
      <c r="R1725" s="19" t="n"/>
      <c r="S1725" s="19" t="n"/>
    </row>
    <row r="1726">
      <c r="A1726" s="19" t="n"/>
      <c r="B1726" s="19" t="n"/>
      <c r="C1726" s="19" t="n"/>
      <c r="D1726" s="19" t="n"/>
      <c r="E1726" s="19" t="n"/>
      <c r="F1726" s="19" t="n"/>
      <c r="G1726" s="19" t="n"/>
      <c r="H1726" s="19" t="n"/>
      <c r="I1726" s="19" t="n"/>
      <c r="J1726" s="19" t="n"/>
      <c r="K1726" s="19" t="n"/>
      <c r="L1726" s="19" t="n"/>
      <c r="M1726" s="19" t="n"/>
      <c r="N1726" s="19" t="n"/>
      <c r="O1726" s="19" t="n"/>
      <c r="P1726" s="19" t="n"/>
      <c r="Q1726" s="19" t="n"/>
      <c r="R1726" s="19" t="n"/>
      <c r="S1726" s="19" t="n"/>
    </row>
    <row r="1727">
      <c r="A1727" s="19" t="n"/>
      <c r="B1727" s="19" t="n"/>
      <c r="C1727" s="19" t="n"/>
      <c r="D1727" s="19" t="n"/>
      <c r="E1727" s="19" t="n"/>
      <c r="F1727" s="19" t="n"/>
      <c r="G1727" s="19" t="n"/>
      <c r="H1727" s="19" t="n"/>
      <c r="I1727" s="19" t="n"/>
      <c r="J1727" s="19" t="n"/>
      <c r="K1727" s="19" t="n"/>
      <c r="L1727" s="19" t="n"/>
      <c r="M1727" s="19" t="n"/>
      <c r="N1727" s="19" t="n"/>
      <c r="O1727" s="19" t="n"/>
      <c r="P1727" s="19" t="n"/>
      <c r="Q1727" s="19" t="n"/>
      <c r="R1727" s="19" t="n"/>
      <c r="S1727" s="19" t="n"/>
    </row>
    <row r="1728">
      <c r="A1728" s="19" t="n"/>
      <c r="B1728" s="19" t="n"/>
      <c r="C1728" s="19" t="n"/>
      <c r="D1728" s="19" t="n"/>
      <c r="E1728" s="19" t="n"/>
      <c r="F1728" s="19" t="n"/>
      <c r="G1728" s="19" t="n"/>
      <c r="H1728" s="19" t="n"/>
      <c r="I1728" s="19" t="n"/>
      <c r="J1728" s="19" t="n"/>
      <c r="K1728" s="19" t="n"/>
      <c r="L1728" s="19" t="n"/>
      <c r="M1728" s="19" t="n"/>
      <c r="N1728" s="19" t="n"/>
      <c r="O1728" s="19" t="n"/>
      <c r="P1728" s="19" t="n"/>
      <c r="Q1728" s="19" t="n"/>
      <c r="R1728" s="19" t="n"/>
      <c r="S1728" s="19" t="n"/>
    </row>
    <row r="1729">
      <c r="A1729" s="19" t="n"/>
      <c r="B1729" s="19" t="n"/>
      <c r="C1729" s="19" t="n"/>
      <c r="D1729" s="19" t="n"/>
      <c r="E1729" s="19" t="n"/>
      <c r="F1729" s="19" t="n"/>
      <c r="G1729" s="19" t="n"/>
      <c r="H1729" s="19" t="n"/>
      <c r="I1729" s="19" t="n"/>
      <c r="J1729" s="19" t="n"/>
      <c r="K1729" s="19" t="n"/>
      <c r="L1729" s="19" t="n"/>
      <c r="M1729" s="19" t="n"/>
      <c r="N1729" s="19" t="n"/>
      <c r="O1729" s="19" t="n"/>
      <c r="P1729" s="19" t="n"/>
      <c r="Q1729" s="19" t="n"/>
      <c r="R1729" s="19" t="n"/>
      <c r="S1729" s="19" t="n"/>
    </row>
    <row r="1730">
      <c r="A1730" s="19" t="n"/>
      <c r="B1730" s="19" t="n"/>
      <c r="C1730" s="19" t="n"/>
      <c r="D1730" s="19" t="n"/>
      <c r="E1730" s="19" t="n"/>
      <c r="F1730" s="19" t="n"/>
      <c r="G1730" s="19" t="n"/>
      <c r="H1730" s="19" t="n"/>
      <c r="I1730" s="19" t="n"/>
      <c r="J1730" s="19" t="n"/>
      <c r="K1730" s="19" t="n"/>
      <c r="L1730" s="19" t="n"/>
      <c r="M1730" s="19" t="n"/>
      <c r="N1730" s="19" t="n"/>
      <c r="O1730" s="19" t="n"/>
      <c r="P1730" s="19" t="n"/>
      <c r="Q1730" s="19" t="n"/>
      <c r="R1730" s="19" t="n"/>
      <c r="S1730" s="19" t="n"/>
    </row>
    <row r="1731">
      <c r="A1731" s="19" t="n"/>
      <c r="B1731" s="19" t="n"/>
      <c r="C1731" s="19" t="n"/>
      <c r="D1731" s="19" t="n"/>
      <c r="E1731" s="19" t="n"/>
      <c r="F1731" s="19" t="n"/>
      <c r="G1731" s="19" t="n"/>
      <c r="H1731" s="19" t="n"/>
      <c r="I1731" s="19" t="n"/>
      <c r="J1731" s="19" t="n"/>
      <c r="K1731" s="19" t="n"/>
      <c r="L1731" s="19" t="n"/>
      <c r="M1731" s="19" t="n"/>
      <c r="N1731" s="19" t="n"/>
      <c r="O1731" s="19" t="n"/>
      <c r="P1731" s="19" t="n"/>
      <c r="Q1731" s="19" t="n"/>
      <c r="R1731" s="19" t="n"/>
      <c r="S1731" s="19" t="n"/>
    </row>
    <row r="1732">
      <c r="A1732" s="19" t="n"/>
      <c r="B1732" s="19" t="n"/>
      <c r="C1732" s="19" t="n"/>
      <c r="D1732" s="19" t="n"/>
      <c r="E1732" s="19" t="n"/>
      <c r="F1732" s="19" t="n"/>
      <c r="G1732" s="19" t="n"/>
      <c r="H1732" s="19" t="n"/>
      <c r="I1732" s="19" t="n"/>
      <c r="J1732" s="19" t="n"/>
      <c r="K1732" s="19" t="n"/>
      <c r="L1732" s="19" t="n"/>
      <c r="M1732" s="19" t="n"/>
      <c r="N1732" s="19" t="n"/>
      <c r="O1732" s="19" t="n"/>
      <c r="P1732" s="19" t="n"/>
      <c r="Q1732" s="19" t="n"/>
      <c r="R1732" s="19" t="n"/>
      <c r="S1732" s="19" t="n"/>
    </row>
    <row r="1733">
      <c r="A1733" s="19" t="n"/>
      <c r="B1733" s="19" t="n"/>
      <c r="C1733" s="19" t="n"/>
      <c r="D1733" s="19" t="n"/>
      <c r="E1733" s="19" t="n"/>
      <c r="F1733" s="19" t="n"/>
      <c r="G1733" s="19" t="n"/>
      <c r="H1733" s="19" t="n"/>
      <c r="I1733" s="19" t="n"/>
      <c r="J1733" s="19" t="n"/>
      <c r="K1733" s="19" t="n"/>
      <c r="L1733" s="19" t="n"/>
      <c r="M1733" s="19" t="n"/>
      <c r="N1733" s="19" t="n"/>
      <c r="O1733" s="19" t="n"/>
      <c r="P1733" s="19" t="n"/>
      <c r="Q1733" s="19" t="n"/>
      <c r="R1733" s="19" t="n"/>
      <c r="S1733" s="19" t="n"/>
    </row>
    <row r="1734">
      <c r="A1734" s="19" t="n"/>
      <c r="B1734" s="19" t="n"/>
      <c r="C1734" s="19" t="n"/>
      <c r="D1734" s="19" t="n"/>
      <c r="E1734" s="19" t="n"/>
      <c r="F1734" s="19" t="n"/>
      <c r="G1734" s="19" t="n"/>
      <c r="H1734" s="19" t="n"/>
      <c r="I1734" s="19" t="n"/>
      <c r="J1734" s="19" t="n"/>
      <c r="K1734" s="19" t="n"/>
      <c r="L1734" s="19" t="n"/>
      <c r="M1734" s="19" t="n"/>
      <c r="N1734" s="19" t="n"/>
      <c r="O1734" s="19" t="n"/>
      <c r="P1734" s="19" t="n"/>
      <c r="Q1734" s="19" t="n"/>
      <c r="R1734" s="19" t="n"/>
      <c r="S1734" s="19" t="n"/>
    </row>
    <row r="1735">
      <c r="A1735" s="19" t="n"/>
      <c r="B1735" s="19" t="n"/>
      <c r="C1735" s="19" t="n"/>
      <c r="D1735" s="19" t="n"/>
      <c r="E1735" s="19" t="n"/>
      <c r="F1735" s="19" t="n"/>
      <c r="G1735" s="19" t="n"/>
      <c r="H1735" s="19" t="n"/>
      <c r="I1735" s="19" t="n"/>
      <c r="J1735" s="19" t="n"/>
      <c r="K1735" s="19" t="n"/>
      <c r="L1735" s="19" t="n"/>
      <c r="M1735" s="19" t="n"/>
      <c r="N1735" s="19" t="n"/>
      <c r="O1735" s="19" t="n"/>
      <c r="P1735" s="19" t="n"/>
      <c r="Q1735" s="19" t="n"/>
      <c r="R1735" s="19" t="n"/>
      <c r="S1735" s="19" t="n"/>
    </row>
    <row r="1736">
      <c r="A1736" s="19" t="n"/>
      <c r="B1736" s="19" t="n"/>
      <c r="C1736" s="19" t="n"/>
      <c r="D1736" s="19" t="n"/>
      <c r="E1736" s="19" t="n"/>
      <c r="F1736" s="19" t="n"/>
      <c r="G1736" s="19" t="n"/>
      <c r="H1736" s="19" t="n"/>
      <c r="I1736" s="19" t="n"/>
      <c r="J1736" s="19" t="n"/>
      <c r="K1736" s="19" t="n"/>
      <c r="L1736" s="19" t="n"/>
      <c r="M1736" s="19" t="n"/>
      <c r="N1736" s="19" t="n"/>
      <c r="O1736" s="19" t="n"/>
      <c r="P1736" s="19" t="n"/>
      <c r="Q1736" s="19" t="n"/>
      <c r="R1736" s="19" t="n"/>
      <c r="S1736" s="19" t="n"/>
    </row>
    <row r="1737">
      <c r="A1737" s="19" t="n"/>
      <c r="B1737" s="19" t="n"/>
      <c r="C1737" s="19" t="n"/>
      <c r="D1737" s="19" t="n"/>
      <c r="E1737" s="19" t="n"/>
      <c r="F1737" s="19" t="n"/>
      <c r="G1737" s="19" t="n"/>
      <c r="H1737" s="19" t="n"/>
      <c r="I1737" s="19" t="n"/>
      <c r="J1737" s="19" t="n"/>
      <c r="K1737" s="19" t="n"/>
      <c r="L1737" s="19" t="n"/>
      <c r="M1737" s="19" t="n"/>
      <c r="N1737" s="19" t="n"/>
      <c r="O1737" s="19" t="n"/>
      <c r="P1737" s="19" t="n"/>
      <c r="Q1737" s="19" t="n"/>
      <c r="R1737" s="19" t="n"/>
      <c r="S1737" s="19" t="n"/>
    </row>
    <row r="1738">
      <c r="A1738" s="19" t="n"/>
      <c r="B1738" s="19" t="n"/>
      <c r="C1738" s="19" t="n"/>
      <c r="D1738" s="19" t="n"/>
      <c r="E1738" s="19" t="n"/>
      <c r="F1738" s="19" t="n"/>
      <c r="G1738" s="19" t="n"/>
      <c r="H1738" s="19" t="n"/>
      <c r="I1738" s="19" t="n"/>
      <c r="J1738" s="19" t="n"/>
      <c r="K1738" s="19" t="n"/>
      <c r="L1738" s="19" t="n"/>
      <c r="M1738" s="19" t="n"/>
      <c r="N1738" s="19" t="n"/>
      <c r="O1738" s="19" t="n"/>
      <c r="P1738" s="19" t="n"/>
      <c r="Q1738" s="19" t="n"/>
      <c r="R1738" s="19" t="n"/>
      <c r="S1738" s="19" t="n"/>
    </row>
    <row r="1739">
      <c r="A1739" s="19" t="n"/>
      <c r="B1739" s="19" t="n"/>
      <c r="C1739" s="19" t="n"/>
      <c r="D1739" s="19" t="n"/>
      <c r="E1739" s="19" t="n"/>
      <c r="F1739" s="19" t="n"/>
      <c r="G1739" s="19" t="n"/>
      <c r="H1739" s="19" t="n"/>
      <c r="I1739" s="19" t="n"/>
      <c r="J1739" s="19" t="n"/>
      <c r="K1739" s="19" t="n"/>
      <c r="L1739" s="19" t="n"/>
      <c r="M1739" s="19" t="n"/>
      <c r="N1739" s="19" t="n"/>
      <c r="O1739" s="19" t="n"/>
      <c r="P1739" s="19" t="n"/>
      <c r="Q1739" s="19" t="n"/>
      <c r="R1739" s="19" t="n"/>
      <c r="S1739" s="19" t="n"/>
    </row>
    <row r="1740">
      <c r="A1740" s="19" t="n"/>
      <c r="B1740" s="19" t="n"/>
      <c r="C1740" s="19" t="n"/>
      <c r="D1740" s="19" t="n"/>
      <c r="E1740" s="19" t="n"/>
      <c r="F1740" s="19" t="n"/>
      <c r="G1740" s="19" t="n"/>
      <c r="H1740" s="19" t="n"/>
      <c r="I1740" s="19" t="n"/>
      <c r="J1740" s="19" t="n"/>
      <c r="K1740" s="19" t="n"/>
      <c r="L1740" s="19" t="n"/>
      <c r="M1740" s="19" t="n"/>
      <c r="N1740" s="19" t="n"/>
      <c r="O1740" s="19" t="n"/>
      <c r="P1740" s="19" t="n"/>
      <c r="Q1740" s="19" t="n"/>
      <c r="R1740" s="19" t="n"/>
      <c r="S1740" s="19" t="n"/>
    </row>
    <row r="1741">
      <c r="A1741" s="19" t="n"/>
      <c r="B1741" s="19" t="n"/>
      <c r="C1741" s="19" t="n"/>
      <c r="D1741" s="19" t="n"/>
      <c r="E1741" s="19" t="n"/>
      <c r="F1741" s="19" t="n"/>
      <c r="G1741" s="19" t="n"/>
      <c r="H1741" s="19" t="n"/>
      <c r="I1741" s="19" t="n"/>
      <c r="J1741" s="19" t="n"/>
      <c r="K1741" s="19" t="n"/>
      <c r="L1741" s="19" t="n"/>
      <c r="M1741" s="19" t="n"/>
      <c r="N1741" s="19" t="n"/>
      <c r="O1741" s="19" t="n"/>
      <c r="P1741" s="19" t="n"/>
      <c r="Q1741" s="19" t="n"/>
      <c r="R1741" s="19" t="n"/>
      <c r="S1741" s="19" t="n"/>
    </row>
    <row r="1742">
      <c r="A1742" s="19" t="n"/>
      <c r="B1742" s="19" t="n"/>
      <c r="C1742" s="19" t="n"/>
      <c r="D1742" s="19" t="n"/>
      <c r="E1742" s="19" t="n"/>
      <c r="F1742" s="19" t="n"/>
      <c r="G1742" s="19" t="n"/>
      <c r="H1742" s="19" t="n"/>
      <c r="I1742" s="19" t="n"/>
      <c r="J1742" s="19" t="n"/>
      <c r="K1742" s="19" t="n"/>
      <c r="L1742" s="19" t="n"/>
      <c r="M1742" s="19" t="n"/>
      <c r="N1742" s="19" t="n"/>
      <c r="O1742" s="19" t="n"/>
      <c r="P1742" s="19" t="n"/>
      <c r="Q1742" s="19" t="n"/>
      <c r="R1742" s="19" t="n"/>
      <c r="S1742" s="19" t="n"/>
    </row>
    <row r="1743">
      <c r="A1743" s="19" t="n"/>
      <c r="B1743" s="19" t="n"/>
      <c r="C1743" s="19" t="n"/>
      <c r="D1743" s="19" t="n"/>
      <c r="E1743" s="19" t="n"/>
      <c r="F1743" s="19" t="n"/>
      <c r="G1743" s="19" t="n"/>
      <c r="H1743" s="19" t="n"/>
      <c r="I1743" s="19" t="n"/>
      <c r="J1743" s="19" t="n"/>
      <c r="K1743" s="19" t="n"/>
      <c r="L1743" s="19" t="n"/>
      <c r="M1743" s="19" t="n"/>
      <c r="N1743" s="19" t="n"/>
      <c r="O1743" s="19" t="n"/>
      <c r="P1743" s="19" t="n"/>
      <c r="Q1743" s="19" t="n"/>
      <c r="R1743" s="19" t="n"/>
      <c r="S1743" s="19" t="n"/>
    </row>
    <row r="1744">
      <c r="A1744" s="19" t="n"/>
      <c r="B1744" s="19" t="n"/>
      <c r="C1744" s="19" t="n"/>
      <c r="D1744" s="19" t="n"/>
      <c r="E1744" s="19" t="n"/>
      <c r="F1744" s="19" t="n"/>
      <c r="G1744" s="19" t="n"/>
      <c r="H1744" s="19" t="n"/>
      <c r="I1744" s="19" t="n"/>
      <c r="J1744" s="19" t="n"/>
      <c r="K1744" s="19" t="n"/>
      <c r="L1744" s="19" t="n"/>
      <c r="M1744" s="19" t="n"/>
      <c r="N1744" s="19" t="n"/>
      <c r="O1744" s="19" t="n"/>
      <c r="P1744" s="19" t="n"/>
      <c r="Q1744" s="19" t="n"/>
      <c r="R1744" s="19" t="n"/>
      <c r="S1744" s="19" t="n"/>
    </row>
    <row r="1745">
      <c r="A1745" s="19" t="n"/>
      <c r="B1745" s="19" t="n"/>
      <c r="C1745" s="19" t="n"/>
      <c r="D1745" s="19" t="n"/>
      <c r="E1745" s="19" t="n"/>
      <c r="F1745" s="19" t="n"/>
      <c r="G1745" s="19" t="n"/>
      <c r="H1745" s="19" t="n"/>
      <c r="I1745" s="19" t="n"/>
      <c r="J1745" s="19" t="n"/>
      <c r="K1745" s="19" t="n"/>
      <c r="L1745" s="19" t="n"/>
      <c r="M1745" s="19" t="n"/>
      <c r="N1745" s="19" t="n"/>
      <c r="O1745" s="19" t="n"/>
      <c r="P1745" s="19" t="n"/>
      <c r="Q1745" s="19" t="n"/>
      <c r="R1745" s="19" t="n"/>
      <c r="S1745" s="19" t="n"/>
    </row>
    <row r="1746">
      <c r="A1746" s="19" t="n"/>
      <c r="B1746" s="19" t="n"/>
      <c r="C1746" s="19" t="n"/>
      <c r="D1746" s="19" t="n"/>
      <c r="E1746" s="19" t="n"/>
      <c r="F1746" s="19" t="n"/>
      <c r="G1746" s="19" t="n"/>
      <c r="H1746" s="19" t="n"/>
      <c r="I1746" s="19" t="n"/>
      <c r="J1746" s="19" t="n"/>
      <c r="K1746" s="19" t="n"/>
      <c r="L1746" s="19" t="n"/>
      <c r="M1746" s="19" t="n"/>
      <c r="N1746" s="19" t="n"/>
      <c r="O1746" s="19" t="n"/>
      <c r="P1746" s="19" t="n"/>
      <c r="Q1746" s="19" t="n"/>
      <c r="R1746" s="19" t="n"/>
      <c r="S1746" s="19" t="n"/>
    </row>
    <row r="1747">
      <c r="A1747" s="19" t="n"/>
      <c r="B1747" s="19" t="n"/>
      <c r="C1747" s="19" t="n"/>
      <c r="D1747" s="19" t="n"/>
      <c r="E1747" s="19" t="n"/>
      <c r="F1747" s="19" t="n"/>
      <c r="G1747" s="19" t="n"/>
      <c r="H1747" s="19" t="n"/>
      <c r="I1747" s="19" t="n"/>
      <c r="J1747" s="19" t="n"/>
      <c r="K1747" s="19" t="n"/>
      <c r="L1747" s="19" t="n"/>
      <c r="M1747" s="19" t="n"/>
      <c r="N1747" s="19" t="n"/>
      <c r="O1747" s="19" t="n"/>
      <c r="P1747" s="19" t="n"/>
      <c r="Q1747" s="19" t="n"/>
      <c r="R1747" s="19" t="n"/>
      <c r="S1747" s="19" t="n"/>
    </row>
    <row r="1748">
      <c r="A1748" s="19" t="n"/>
      <c r="B1748" s="19" t="n"/>
      <c r="C1748" s="19" t="n"/>
      <c r="D1748" s="19" t="n"/>
      <c r="E1748" s="19" t="n"/>
      <c r="F1748" s="19" t="n"/>
      <c r="G1748" s="19" t="n"/>
      <c r="H1748" s="19" t="n"/>
      <c r="I1748" s="19" t="n"/>
      <c r="J1748" s="19" t="n"/>
      <c r="K1748" s="19" t="n"/>
      <c r="L1748" s="19" t="n"/>
      <c r="M1748" s="19" t="n"/>
      <c r="N1748" s="19" t="n"/>
      <c r="O1748" s="19" t="n"/>
      <c r="P1748" s="19" t="n"/>
      <c r="Q1748" s="19" t="n"/>
      <c r="R1748" s="19" t="n"/>
      <c r="S1748" s="19" t="n"/>
    </row>
    <row r="1749">
      <c r="A1749" s="19" t="n"/>
      <c r="B1749" s="19" t="n"/>
      <c r="C1749" s="19" t="n"/>
      <c r="D1749" s="19" t="n"/>
      <c r="E1749" s="19" t="n"/>
      <c r="F1749" s="19" t="n"/>
      <c r="G1749" s="19" t="n"/>
      <c r="H1749" s="19" t="n"/>
      <c r="I1749" s="19" t="n"/>
      <c r="J1749" s="19" t="n"/>
      <c r="K1749" s="19" t="n"/>
      <c r="L1749" s="19" t="n"/>
      <c r="M1749" s="19" t="n"/>
      <c r="N1749" s="19" t="n"/>
      <c r="O1749" s="19" t="n"/>
      <c r="P1749" s="19" t="n"/>
      <c r="Q1749" s="19" t="n"/>
      <c r="R1749" s="19" t="n"/>
      <c r="S1749" s="19" t="n"/>
    </row>
    <row r="1750">
      <c r="A1750" s="19" t="n"/>
      <c r="B1750" s="19" t="n"/>
      <c r="C1750" s="19" t="n"/>
      <c r="D1750" s="19" t="n"/>
      <c r="E1750" s="19" t="n"/>
      <c r="F1750" s="19" t="n"/>
      <c r="G1750" s="19" t="n"/>
      <c r="H1750" s="19" t="n"/>
      <c r="I1750" s="19" t="n"/>
      <c r="J1750" s="19" t="n"/>
      <c r="K1750" s="19" t="n"/>
      <c r="L1750" s="19" t="n"/>
      <c r="M1750" s="19" t="n"/>
      <c r="N1750" s="19" t="n"/>
      <c r="O1750" s="19" t="n"/>
      <c r="P1750" s="19" t="n"/>
      <c r="Q1750" s="19" t="n"/>
      <c r="R1750" s="19" t="n"/>
      <c r="S1750" s="19" t="n"/>
    </row>
    <row r="1751">
      <c r="A1751" s="19" t="n"/>
      <c r="B1751" s="19" t="n"/>
      <c r="C1751" s="19" t="n"/>
      <c r="D1751" s="19" t="n"/>
      <c r="E1751" s="19" t="n"/>
      <c r="F1751" s="19" t="n"/>
      <c r="G1751" s="19" t="n"/>
      <c r="H1751" s="19" t="n"/>
      <c r="I1751" s="19" t="n"/>
      <c r="J1751" s="19" t="n"/>
      <c r="K1751" s="19" t="n"/>
      <c r="L1751" s="19" t="n"/>
      <c r="M1751" s="19" t="n"/>
      <c r="N1751" s="19" t="n"/>
      <c r="O1751" s="19" t="n"/>
      <c r="P1751" s="19" t="n"/>
      <c r="Q1751" s="19" t="n"/>
      <c r="R1751" s="19" t="n"/>
      <c r="S1751" s="19" t="n"/>
    </row>
    <row r="1752">
      <c r="A1752" s="19" t="n"/>
      <c r="B1752" s="19" t="n"/>
      <c r="C1752" s="19" t="n"/>
      <c r="D1752" s="19" t="n"/>
      <c r="E1752" s="19" t="n"/>
      <c r="F1752" s="19" t="n"/>
      <c r="G1752" s="19" t="n"/>
      <c r="H1752" s="19" t="n"/>
      <c r="I1752" s="19" t="n"/>
      <c r="J1752" s="19" t="n"/>
      <c r="K1752" s="19" t="n"/>
      <c r="L1752" s="19" t="n"/>
      <c r="M1752" s="19" t="n"/>
      <c r="N1752" s="19" t="n"/>
      <c r="O1752" s="19" t="n"/>
      <c r="P1752" s="19" t="n"/>
      <c r="Q1752" s="19" t="n"/>
      <c r="R1752" s="19" t="n"/>
      <c r="S1752" s="19" t="n"/>
    </row>
    <row r="1753">
      <c r="A1753" s="19" t="n"/>
      <c r="B1753" s="19" t="n"/>
      <c r="C1753" s="19" t="n"/>
      <c r="D1753" s="19" t="n"/>
      <c r="E1753" s="19" t="n"/>
      <c r="F1753" s="19" t="n"/>
      <c r="G1753" s="19" t="n"/>
      <c r="H1753" s="19" t="n"/>
      <c r="I1753" s="19" t="n"/>
      <c r="J1753" s="19" t="n"/>
      <c r="K1753" s="19" t="n"/>
      <c r="L1753" s="19" t="n"/>
      <c r="M1753" s="19" t="n"/>
      <c r="N1753" s="19" t="n"/>
      <c r="O1753" s="19" t="n"/>
      <c r="P1753" s="19" t="n"/>
      <c r="Q1753" s="19" t="n"/>
      <c r="R1753" s="19" t="n"/>
      <c r="S1753" s="19" t="n"/>
    </row>
    <row r="1754">
      <c r="A1754" s="19" t="n"/>
      <c r="B1754" s="19" t="n"/>
      <c r="C1754" s="19" t="n"/>
      <c r="D1754" s="19" t="n"/>
      <c r="E1754" s="19" t="n"/>
      <c r="F1754" s="19" t="n"/>
      <c r="G1754" s="19" t="n"/>
      <c r="H1754" s="19" t="n"/>
      <c r="I1754" s="19" t="n"/>
      <c r="J1754" s="19" t="n"/>
      <c r="K1754" s="19" t="n"/>
      <c r="L1754" s="19" t="n"/>
      <c r="M1754" s="19" t="n"/>
      <c r="N1754" s="19" t="n"/>
      <c r="O1754" s="19" t="n"/>
      <c r="P1754" s="19" t="n"/>
      <c r="Q1754" s="19" t="n"/>
      <c r="R1754" s="19" t="n"/>
      <c r="S1754" s="19" t="n"/>
    </row>
    <row r="1755">
      <c r="A1755" s="19" t="n"/>
      <c r="B1755" s="19" t="n"/>
      <c r="C1755" s="19" t="n"/>
      <c r="D1755" s="19" t="n"/>
      <c r="E1755" s="19" t="n"/>
      <c r="F1755" s="19" t="n"/>
      <c r="G1755" s="19" t="n"/>
      <c r="H1755" s="19" t="n"/>
      <c r="I1755" s="19" t="n"/>
      <c r="J1755" s="19" t="n"/>
      <c r="K1755" s="19" t="n"/>
      <c r="L1755" s="19" t="n"/>
      <c r="M1755" s="19" t="n"/>
      <c r="N1755" s="19" t="n"/>
      <c r="O1755" s="19" t="n"/>
      <c r="P1755" s="19" t="n"/>
      <c r="Q1755" s="19" t="n"/>
      <c r="R1755" s="19" t="n"/>
      <c r="S1755" s="19" t="n"/>
    </row>
    <row r="1756">
      <c r="A1756" s="19" t="n"/>
      <c r="B1756" s="19" t="n"/>
      <c r="C1756" s="19" t="n"/>
      <c r="D1756" s="19" t="n"/>
      <c r="E1756" s="19" t="n"/>
      <c r="F1756" s="19" t="n"/>
      <c r="G1756" s="19" t="n"/>
      <c r="H1756" s="19" t="n"/>
      <c r="I1756" s="19" t="n"/>
      <c r="J1756" s="19" t="n"/>
      <c r="K1756" s="19" t="n"/>
      <c r="L1756" s="19" t="n"/>
      <c r="M1756" s="19" t="n"/>
      <c r="N1756" s="19" t="n"/>
      <c r="O1756" s="19" t="n"/>
      <c r="P1756" s="19" t="n"/>
      <c r="Q1756" s="19" t="n"/>
      <c r="R1756" s="19" t="n"/>
      <c r="S1756" s="19" t="n"/>
    </row>
    <row r="1757">
      <c r="A1757" s="19" t="n"/>
      <c r="B1757" s="19" t="n"/>
      <c r="C1757" s="19" t="n"/>
      <c r="D1757" s="19" t="n"/>
      <c r="E1757" s="19" t="n"/>
      <c r="F1757" s="19" t="n"/>
      <c r="G1757" s="19" t="n"/>
      <c r="H1757" s="19" t="n"/>
      <c r="I1757" s="19" t="n"/>
      <c r="J1757" s="19" t="n"/>
      <c r="K1757" s="19" t="n"/>
      <c r="L1757" s="19" t="n"/>
      <c r="M1757" s="19" t="n"/>
      <c r="N1757" s="19" t="n"/>
      <c r="O1757" s="19" t="n"/>
      <c r="P1757" s="19" t="n"/>
      <c r="Q1757" s="19" t="n"/>
      <c r="R1757" s="19" t="n"/>
      <c r="S1757" s="19" t="n"/>
    </row>
    <row r="1758">
      <c r="A1758" s="19" t="n"/>
      <c r="B1758" s="19" t="n"/>
      <c r="C1758" s="19" t="n"/>
      <c r="D1758" s="19" t="n"/>
      <c r="E1758" s="19" t="n"/>
      <c r="F1758" s="19" t="n"/>
      <c r="G1758" s="19" t="n"/>
      <c r="H1758" s="19" t="n"/>
      <c r="I1758" s="19" t="n"/>
      <c r="J1758" s="19" t="n"/>
      <c r="K1758" s="19" t="n"/>
      <c r="L1758" s="19" t="n"/>
      <c r="M1758" s="19" t="n"/>
      <c r="N1758" s="19" t="n"/>
      <c r="O1758" s="19" t="n"/>
      <c r="P1758" s="19" t="n"/>
      <c r="Q1758" s="19" t="n"/>
      <c r="R1758" s="19" t="n"/>
      <c r="S1758" s="19" t="n"/>
    </row>
    <row r="1759">
      <c r="A1759" s="19" t="n"/>
      <c r="B1759" s="19" t="n"/>
      <c r="C1759" s="19" t="n"/>
      <c r="D1759" s="19" t="n"/>
      <c r="E1759" s="19" t="n"/>
      <c r="F1759" s="19" t="n"/>
      <c r="G1759" s="19" t="n"/>
      <c r="H1759" s="19" t="n"/>
      <c r="I1759" s="19" t="n"/>
      <c r="J1759" s="19" t="n"/>
      <c r="K1759" s="19" t="n"/>
      <c r="L1759" s="19" t="n"/>
      <c r="M1759" s="19" t="n"/>
      <c r="N1759" s="19" t="n"/>
      <c r="O1759" s="19" t="n"/>
      <c r="P1759" s="19" t="n"/>
      <c r="Q1759" s="19" t="n"/>
      <c r="R1759" s="19" t="n"/>
      <c r="S1759" s="19" t="n"/>
    </row>
    <row r="1760">
      <c r="A1760" s="19" t="n"/>
      <c r="B1760" s="19" t="n"/>
      <c r="C1760" s="19" t="n"/>
      <c r="D1760" s="19" t="n"/>
      <c r="E1760" s="19" t="n"/>
      <c r="F1760" s="19" t="n"/>
      <c r="G1760" s="19" t="n"/>
      <c r="H1760" s="19" t="n"/>
      <c r="I1760" s="19" t="n"/>
      <c r="J1760" s="19" t="n"/>
      <c r="K1760" s="19" t="n"/>
      <c r="L1760" s="19" t="n"/>
      <c r="M1760" s="19" t="n"/>
      <c r="N1760" s="19" t="n"/>
      <c r="O1760" s="19" t="n"/>
      <c r="P1760" s="19" t="n"/>
      <c r="Q1760" s="19" t="n"/>
      <c r="R1760" s="19" t="n"/>
      <c r="S1760" s="19" t="n"/>
    </row>
    <row r="1761">
      <c r="A1761" s="19" t="n"/>
      <c r="B1761" s="19" t="n"/>
      <c r="C1761" s="19" t="n"/>
      <c r="D1761" s="19" t="n"/>
      <c r="E1761" s="19" t="n"/>
      <c r="F1761" s="19" t="n"/>
      <c r="G1761" s="19" t="n"/>
      <c r="H1761" s="19" t="n"/>
      <c r="I1761" s="19" t="n"/>
      <c r="J1761" s="19" t="n"/>
      <c r="K1761" s="19" t="n"/>
      <c r="L1761" s="19" t="n"/>
      <c r="M1761" s="19" t="n"/>
      <c r="N1761" s="19" t="n"/>
      <c r="O1761" s="19" t="n"/>
      <c r="P1761" s="19" t="n"/>
      <c r="Q1761" s="19" t="n"/>
      <c r="R1761" s="19" t="n"/>
      <c r="S1761" s="19" t="n"/>
    </row>
    <row r="1762">
      <c r="A1762" s="19" t="n"/>
      <c r="B1762" s="19" t="n"/>
      <c r="C1762" s="19" t="n"/>
      <c r="D1762" s="19" t="n"/>
      <c r="E1762" s="19" t="n"/>
      <c r="F1762" s="19" t="n"/>
      <c r="G1762" s="19" t="n"/>
      <c r="H1762" s="19" t="n"/>
      <c r="I1762" s="19" t="n"/>
      <c r="J1762" s="19" t="n"/>
      <c r="K1762" s="19" t="n"/>
      <c r="L1762" s="19" t="n"/>
      <c r="M1762" s="19" t="n"/>
      <c r="N1762" s="19" t="n"/>
      <c r="O1762" s="19" t="n"/>
      <c r="P1762" s="19" t="n"/>
      <c r="Q1762" s="19" t="n"/>
      <c r="R1762" s="19" t="n"/>
      <c r="S1762" s="19" t="n"/>
    </row>
    <row r="1763">
      <c r="A1763" s="19" t="n"/>
      <c r="B1763" s="19" t="n"/>
      <c r="C1763" s="19" t="n"/>
      <c r="D1763" s="19" t="n"/>
      <c r="E1763" s="19" t="n"/>
      <c r="F1763" s="19" t="n"/>
      <c r="G1763" s="19" t="n"/>
      <c r="H1763" s="19" t="n"/>
      <c r="I1763" s="19" t="n"/>
      <c r="J1763" s="19" t="n"/>
      <c r="K1763" s="19" t="n"/>
      <c r="L1763" s="19" t="n"/>
      <c r="M1763" s="19" t="n"/>
      <c r="N1763" s="19" t="n"/>
      <c r="O1763" s="19" t="n"/>
      <c r="P1763" s="19" t="n"/>
      <c r="Q1763" s="19" t="n"/>
      <c r="R1763" s="19" t="n"/>
      <c r="S1763" s="19" t="n"/>
    </row>
    <row r="1764">
      <c r="A1764" s="19" t="n"/>
      <c r="B1764" s="19" t="n"/>
      <c r="C1764" s="19" t="n"/>
      <c r="D1764" s="19" t="n"/>
      <c r="E1764" s="19" t="n"/>
      <c r="F1764" s="19" t="n"/>
      <c r="G1764" s="19" t="n"/>
      <c r="H1764" s="19" t="n"/>
      <c r="I1764" s="19" t="n"/>
      <c r="J1764" s="19" t="n"/>
      <c r="K1764" s="19" t="n"/>
      <c r="L1764" s="19" t="n"/>
      <c r="M1764" s="19" t="n"/>
      <c r="N1764" s="19" t="n"/>
      <c r="O1764" s="19" t="n"/>
      <c r="P1764" s="19" t="n"/>
      <c r="Q1764" s="19" t="n"/>
      <c r="R1764" s="19" t="n"/>
      <c r="S1764" s="19" t="n"/>
    </row>
    <row r="1765">
      <c r="A1765" s="19" t="n"/>
      <c r="B1765" s="19" t="n"/>
      <c r="C1765" s="19" t="n"/>
      <c r="D1765" s="19" t="n"/>
      <c r="E1765" s="19" t="n"/>
      <c r="F1765" s="19" t="n"/>
      <c r="G1765" s="19" t="n"/>
      <c r="H1765" s="19" t="n"/>
      <c r="I1765" s="19" t="n"/>
      <c r="J1765" s="19" t="n"/>
      <c r="K1765" s="19" t="n"/>
      <c r="L1765" s="19" t="n"/>
      <c r="M1765" s="19" t="n"/>
      <c r="N1765" s="19" t="n"/>
      <c r="O1765" s="19" t="n"/>
      <c r="P1765" s="19" t="n"/>
      <c r="Q1765" s="19" t="n"/>
      <c r="R1765" s="19" t="n"/>
      <c r="S1765" s="19" t="n"/>
    </row>
    <row r="1766">
      <c r="A1766" s="19" t="n"/>
      <c r="B1766" s="19" t="n"/>
      <c r="C1766" s="19" t="n"/>
      <c r="D1766" s="19" t="n"/>
      <c r="E1766" s="19" t="n"/>
      <c r="F1766" s="19" t="n"/>
      <c r="G1766" s="19" t="n"/>
      <c r="H1766" s="19" t="n"/>
      <c r="I1766" s="19" t="n"/>
      <c r="J1766" s="19" t="n"/>
      <c r="K1766" s="19" t="n"/>
      <c r="L1766" s="19" t="n"/>
      <c r="M1766" s="19" t="n"/>
      <c r="N1766" s="19" t="n"/>
      <c r="O1766" s="19" t="n"/>
      <c r="P1766" s="19" t="n"/>
      <c r="Q1766" s="19" t="n"/>
      <c r="R1766" s="19" t="n"/>
      <c r="S1766" s="19" t="n"/>
    </row>
    <row r="1767">
      <c r="A1767" s="19" t="n"/>
      <c r="B1767" s="19" t="n"/>
      <c r="C1767" s="19" t="n"/>
      <c r="D1767" s="19" t="n"/>
      <c r="E1767" s="19" t="n"/>
      <c r="F1767" s="19" t="n"/>
      <c r="G1767" s="19" t="n"/>
      <c r="H1767" s="19" t="n"/>
      <c r="I1767" s="19" t="n"/>
      <c r="J1767" s="19" t="n"/>
      <c r="K1767" s="19" t="n"/>
      <c r="L1767" s="19" t="n"/>
      <c r="M1767" s="19" t="n"/>
      <c r="N1767" s="19" t="n"/>
      <c r="O1767" s="19" t="n"/>
      <c r="P1767" s="19" t="n"/>
      <c r="Q1767" s="19" t="n"/>
      <c r="R1767" s="19" t="n"/>
      <c r="S1767" s="19" t="n"/>
    </row>
    <row r="1768">
      <c r="A1768" s="19" t="n"/>
      <c r="B1768" s="19" t="n"/>
      <c r="C1768" s="19" t="n"/>
      <c r="D1768" s="19" t="n"/>
      <c r="E1768" s="19" t="n"/>
      <c r="F1768" s="19" t="n"/>
      <c r="G1768" s="19" t="n"/>
      <c r="H1768" s="19" t="n"/>
      <c r="I1768" s="19" t="n"/>
      <c r="J1768" s="19" t="n"/>
      <c r="K1768" s="19" t="n"/>
      <c r="L1768" s="19" t="n"/>
      <c r="M1768" s="19" t="n"/>
      <c r="N1768" s="19" t="n"/>
      <c r="O1768" s="19" t="n"/>
      <c r="P1768" s="19" t="n"/>
      <c r="Q1768" s="19" t="n"/>
      <c r="R1768" s="19" t="n"/>
      <c r="S1768" s="19" t="n"/>
    </row>
    <row r="1769">
      <c r="A1769" s="19" t="n"/>
      <c r="B1769" s="19" t="n"/>
      <c r="C1769" s="19" t="n"/>
      <c r="D1769" s="19" t="n"/>
      <c r="E1769" s="19" t="n"/>
      <c r="F1769" s="19" t="n"/>
      <c r="G1769" s="19" t="n"/>
      <c r="H1769" s="19" t="n"/>
      <c r="I1769" s="19" t="n"/>
      <c r="J1769" s="19" t="n"/>
      <c r="K1769" s="19" t="n"/>
      <c r="L1769" s="19" t="n"/>
      <c r="M1769" s="19" t="n"/>
      <c r="N1769" s="19" t="n"/>
      <c r="O1769" s="19" t="n"/>
      <c r="P1769" s="19" t="n"/>
      <c r="Q1769" s="19" t="n"/>
      <c r="R1769" s="19" t="n"/>
      <c r="S1769" s="19" t="n"/>
    </row>
    <row r="1770">
      <c r="A1770" s="19" t="n"/>
      <c r="B1770" s="19" t="n"/>
      <c r="C1770" s="19" t="n"/>
      <c r="D1770" s="19" t="n"/>
      <c r="E1770" s="19" t="n"/>
      <c r="F1770" s="19" t="n"/>
      <c r="G1770" s="19" t="n"/>
      <c r="H1770" s="19" t="n"/>
      <c r="I1770" s="19" t="n"/>
      <c r="J1770" s="19" t="n"/>
      <c r="K1770" s="19" t="n"/>
      <c r="L1770" s="19" t="n"/>
      <c r="M1770" s="19" t="n"/>
      <c r="N1770" s="19" t="n"/>
      <c r="O1770" s="19" t="n"/>
      <c r="P1770" s="19" t="n"/>
      <c r="Q1770" s="19" t="n"/>
      <c r="R1770" s="19" t="n"/>
      <c r="S1770" s="19" t="n"/>
    </row>
    <row r="1771">
      <c r="A1771" s="19" t="n"/>
      <c r="B1771" s="19" t="n"/>
      <c r="C1771" s="19" t="n"/>
      <c r="D1771" s="19" t="n"/>
      <c r="E1771" s="19" t="n"/>
      <c r="F1771" s="19" t="n"/>
      <c r="G1771" s="19" t="n"/>
      <c r="H1771" s="19" t="n"/>
      <c r="I1771" s="19" t="n"/>
      <c r="J1771" s="19" t="n"/>
      <c r="K1771" s="19" t="n"/>
      <c r="L1771" s="19" t="n"/>
      <c r="M1771" s="19" t="n"/>
      <c r="N1771" s="19" t="n"/>
      <c r="O1771" s="19" t="n"/>
      <c r="P1771" s="19" t="n"/>
      <c r="Q1771" s="19" t="n"/>
      <c r="R1771" s="19" t="n"/>
      <c r="S1771" s="19" t="n"/>
    </row>
    <row r="1772">
      <c r="A1772" s="19" t="n"/>
      <c r="B1772" s="19" t="n"/>
      <c r="C1772" s="19" t="n"/>
      <c r="D1772" s="19" t="n"/>
      <c r="E1772" s="19" t="n"/>
      <c r="F1772" s="19" t="n"/>
      <c r="G1772" s="19" t="n"/>
      <c r="H1772" s="19" t="n"/>
      <c r="I1772" s="19" t="n"/>
      <c r="J1772" s="19" t="n"/>
      <c r="K1772" s="19" t="n"/>
      <c r="L1772" s="19" t="n"/>
      <c r="M1772" s="19" t="n"/>
      <c r="N1772" s="19" t="n"/>
      <c r="O1772" s="19" t="n"/>
      <c r="P1772" s="19" t="n"/>
      <c r="Q1772" s="19" t="n"/>
      <c r="R1772" s="19" t="n"/>
      <c r="S1772" s="19" t="n"/>
    </row>
    <row r="1773">
      <c r="A1773" s="19" t="n"/>
      <c r="B1773" s="19" t="n"/>
      <c r="C1773" s="19" t="n"/>
      <c r="D1773" s="19" t="n"/>
      <c r="E1773" s="19" t="n"/>
      <c r="F1773" s="19" t="n"/>
      <c r="G1773" s="19" t="n"/>
      <c r="H1773" s="19" t="n"/>
      <c r="I1773" s="19" t="n"/>
      <c r="J1773" s="19" t="n"/>
      <c r="K1773" s="19" t="n"/>
      <c r="L1773" s="19" t="n"/>
      <c r="M1773" s="19" t="n"/>
      <c r="N1773" s="19" t="n"/>
      <c r="O1773" s="19" t="n"/>
      <c r="P1773" s="19" t="n"/>
      <c r="Q1773" s="19" t="n"/>
      <c r="R1773" s="19" t="n"/>
      <c r="S1773" s="19" t="n"/>
    </row>
    <row r="1774">
      <c r="A1774" s="19" t="n"/>
      <c r="B1774" s="19" t="n"/>
      <c r="C1774" s="19" t="n"/>
      <c r="D1774" s="19" t="n"/>
      <c r="E1774" s="19" t="n"/>
      <c r="F1774" s="19" t="n"/>
      <c r="G1774" s="19" t="n"/>
      <c r="H1774" s="19" t="n"/>
      <c r="I1774" s="19" t="n"/>
      <c r="J1774" s="19" t="n"/>
      <c r="K1774" s="19" t="n"/>
      <c r="L1774" s="19" t="n"/>
      <c r="M1774" s="19" t="n"/>
      <c r="N1774" s="19" t="n"/>
      <c r="O1774" s="19" t="n"/>
      <c r="P1774" s="19" t="n"/>
      <c r="Q1774" s="19" t="n"/>
      <c r="R1774" s="19" t="n"/>
      <c r="S1774" s="19" t="n"/>
    </row>
    <row r="1775">
      <c r="A1775" s="19" t="n"/>
      <c r="B1775" s="19" t="n"/>
      <c r="C1775" s="19" t="n"/>
      <c r="D1775" s="19" t="n"/>
      <c r="E1775" s="19" t="n"/>
      <c r="F1775" s="19" t="n"/>
      <c r="G1775" s="19" t="n"/>
      <c r="H1775" s="19" t="n"/>
      <c r="I1775" s="19" t="n"/>
      <c r="J1775" s="19" t="n"/>
      <c r="K1775" s="19" t="n"/>
      <c r="L1775" s="19" t="n"/>
      <c r="M1775" s="19" t="n"/>
      <c r="N1775" s="19" t="n"/>
      <c r="O1775" s="19" t="n"/>
      <c r="P1775" s="19" t="n"/>
      <c r="Q1775" s="19" t="n"/>
      <c r="R1775" s="19" t="n"/>
      <c r="S1775" s="19" t="n"/>
    </row>
    <row r="1776">
      <c r="A1776" s="19" t="n"/>
      <c r="B1776" s="19" t="n"/>
      <c r="C1776" s="19" t="n"/>
      <c r="D1776" s="19" t="n"/>
      <c r="E1776" s="19" t="n"/>
      <c r="F1776" s="19" t="n"/>
      <c r="G1776" s="19" t="n"/>
      <c r="H1776" s="19" t="n"/>
      <c r="I1776" s="19" t="n"/>
      <c r="J1776" s="19" t="n"/>
      <c r="K1776" s="19" t="n"/>
      <c r="L1776" s="19" t="n"/>
      <c r="M1776" s="19" t="n"/>
      <c r="N1776" s="19" t="n"/>
      <c r="O1776" s="19" t="n"/>
      <c r="P1776" s="19" t="n"/>
      <c r="Q1776" s="19" t="n"/>
      <c r="R1776" s="19" t="n"/>
      <c r="S1776" s="19" t="n"/>
    </row>
    <row r="1777">
      <c r="A1777" s="19" t="n"/>
      <c r="B1777" s="19" t="n"/>
      <c r="C1777" s="19" t="n"/>
      <c r="D1777" s="19" t="n"/>
      <c r="E1777" s="19" t="n"/>
      <c r="F1777" s="19" t="n"/>
      <c r="G1777" s="19" t="n"/>
      <c r="H1777" s="19" t="n"/>
      <c r="I1777" s="19" t="n"/>
      <c r="J1777" s="19" t="n"/>
      <c r="K1777" s="19" t="n"/>
      <c r="L1777" s="19" t="n"/>
      <c r="M1777" s="19" t="n"/>
      <c r="N1777" s="19" t="n"/>
      <c r="O1777" s="19" t="n"/>
      <c r="P1777" s="19" t="n"/>
      <c r="Q1777" s="19" t="n"/>
      <c r="R1777" s="19" t="n"/>
      <c r="S1777" s="19" t="n"/>
    </row>
    <row r="1778">
      <c r="A1778" s="19" t="n"/>
      <c r="B1778" s="19" t="n"/>
      <c r="C1778" s="19" t="n"/>
      <c r="D1778" s="19" t="n"/>
      <c r="E1778" s="19" t="n"/>
      <c r="F1778" s="19" t="n"/>
      <c r="G1778" s="19" t="n"/>
      <c r="H1778" s="19" t="n"/>
      <c r="I1778" s="19" t="n"/>
      <c r="J1778" s="19" t="n"/>
      <c r="K1778" s="19" t="n"/>
      <c r="L1778" s="19" t="n"/>
      <c r="M1778" s="19" t="n"/>
      <c r="N1778" s="19" t="n"/>
      <c r="O1778" s="19" t="n"/>
      <c r="P1778" s="19" t="n"/>
      <c r="Q1778" s="19" t="n"/>
      <c r="R1778" s="19" t="n"/>
      <c r="S1778" s="19" t="n"/>
    </row>
    <row r="1779">
      <c r="A1779" s="19" t="n"/>
      <c r="B1779" s="19" t="n"/>
      <c r="C1779" s="19" t="n"/>
      <c r="D1779" s="19" t="n"/>
      <c r="E1779" s="19" t="n"/>
      <c r="F1779" s="19" t="n"/>
      <c r="G1779" s="19" t="n"/>
      <c r="H1779" s="19" t="n"/>
      <c r="I1779" s="19" t="n"/>
      <c r="J1779" s="19" t="n"/>
      <c r="K1779" s="19" t="n"/>
      <c r="L1779" s="19" t="n"/>
      <c r="M1779" s="19" t="n"/>
      <c r="N1779" s="19" t="n"/>
      <c r="O1779" s="19" t="n"/>
      <c r="P1779" s="19" t="n"/>
      <c r="Q1779" s="19" t="n"/>
      <c r="R1779" s="19" t="n"/>
      <c r="S1779" s="19" t="n"/>
    </row>
    <row r="1780">
      <c r="A1780" s="19" t="n"/>
      <c r="B1780" s="19" t="n"/>
      <c r="C1780" s="19" t="n"/>
      <c r="D1780" s="19" t="n"/>
      <c r="E1780" s="19" t="n"/>
      <c r="F1780" s="19" t="n"/>
      <c r="G1780" s="19" t="n"/>
      <c r="H1780" s="19" t="n"/>
      <c r="I1780" s="19" t="n"/>
      <c r="J1780" s="19" t="n"/>
      <c r="K1780" s="19" t="n"/>
      <c r="L1780" s="19" t="n"/>
      <c r="M1780" s="19" t="n"/>
      <c r="N1780" s="19" t="n"/>
      <c r="O1780" s="19" t="n"/>
      <c r="P1780" s="19" t="n"/>
      <c r="Q1780" s="19" t="n"/>
      <c r="R1780" s="19" t="n"/>
      <c r="S1780" s="19" t="n"/>
    </row>
    <row r="1781">
      <c r="A1781" s="19" t="n"/>
      <c r="B1781" s="19" t="n"/>
      <c r="C1781" s="19" t="n"/>
      <c r="D1781" s="19" t="n"/>
      <c r="E1781" s="19" t="n"/>
      <c r="F1781" s="19" t="n"/>
      <c r="G1781" s="19" t="n"/>
      <c r="H1781" s="19" t="n"/>
      <c r="I1781" s="19" t="n"/>
      <c r="J1781" s="19" t="n"/>
      <c r="K1781" s="19" t="n"/>
      <c r="L1781" s="19" t="n"/>
      <c r="M1781" s="19" t="n"/>
      <c r="N1781" s="19" t="n"/>
      <c r="O1781" s="19" t="n"/>
      <c r="P1781" s="19" t="n"/>
      <c r="Q1781" s="19" t="n"/>
      <c r="R1781" s="19" t="n"/>
      <c r="S1781" s="19" t="n"/>
    </row>
    <row r="1782">
      <c r="A1782" s="19" t="n"/>
      <c r="B1782" s="19" t="n"/>
      <c r="C1782" s="19" t="n"/>
      <c r="D1782" s="19" t="n"/>
      <c r="E1782" s="19" t="n"/>
      <c r="F1782" s="19" t="n"/>
      <c r="G1782" s="19" t="n"/>
      <c r="H1782" s="19" t="n"/>
      <c r="I1782" s="19" t="n"/>
      <c r="J1782" s="19" t="n"/>
      <c r="K1782" s="19" t="n"/>
      <c r="L1782" s="19" t="n"/>
      <c r="M1782" s="19" t="n"/>
      <c r="N1782" s="19" t="n"/>
      <c r="O1782" s="19" t="n"/>
      <c r="P1782" s="19" t="n"/>
      <c r="Q1782" s="19" t="n"/>
      <c r="R1782" s="19" t="n"/>
      <c r="S1782" s="19" t="n"/>
    </row>
    <row r="1783">
      <c r="A1783" s="19" t="n"/>
      <c r="B1783" s="19" t="n"/>
      <c r="C1783" s="19" t="n"/>
      <c r="D1783" s="19" t="n"/>
      <c r="E1783" s="19" t="n"/>
      <c r="F1783" s="19" t="n"/>
      <c r="G1783" s="19" t="n"/>
      <c r="H1783" s="19" t="n"/>
      <c r="I1783" s="19" t="n"/>
      <c r="J1783" s="19" t="n"/>
      <c r="K1783" s="19" t="n"/>
      <c r="L1783" s="19" t="n"/>
      <c r="M1783" s="19" t="n"/>
      <c r="N1783" s="19" t="n"/>
      <c r="O1783" s="19" t="n"/>
      <c r="P1783" s="19" t="n"/>
      <c r="Q1783" s="19" t="n"/>
      <c r="R1783" s="19" t="n"/>
      <c r="S1783" s="19" t="n"/>
    </row>
    <row r="1784">
      <c r="A1784" s="19" t="n"/>
      <c r="B1784" s="19" t="n"/>
      <c r="C1784" s="19" t="n"/>
      <c r="D1784" s="19" t="n"/>
      <c r="E1784" s="19" t="n"/>
      <c r="F1784" s="19" t="n"/>
      <c r="G1784" s="19" t="n"/>
      <c r="H1784" s="19" t="n"/>
      <c r="I1784" s="19" t="n"/>
      <c r="J1784" s="19" t="n"/>
      <c r="K1784" s="19" t="n"/>
      <c r="L1784" s="19" t="n"/>
      <c r="M1784" s="19" t="n"/>
      <c r="N1784" s="19" t="n"/>
      <c r="O1784" s="19" t="n"/>
      <c r="P1784" s="19" t="n"/>
      <c r="Q1784" s="19" t="n"/>
      <c r="R1784" s="19" t="n"/>
      <c r="S1784" s="19" t="n"/>
    </row>
    <row r="1785">
      <c r="A1785" s="19" t="n"/>
      <c r="B1785" s="19" t="n"/>
      <c r="C1785" s="19" t="n"/>
      <c r="D1785" s="19" t="n"/>
      <c r="E1785" s="19" t="n"/>
      <c r="F1785" s="19" t="n"/>
      <c r="G1785" s="19" t="n"/>
      <c r="H1785" s="19" t="n"/>
      <c r="I1785" s="19" t="n"/>
      <c r="J1785" s="19" t="n"/>
      <c r="K1785" s="19" t="n"/>
      <c r="L1785" s="19" t="n"/>
      <c r="M1785" s="19" t="n"/>
      <c r="N1785" s="19" t="n"/>
      <c r="O1785" s="19" t="n"/>
      <c r="P1785" s="19" t="n"/>
      <c r="Q1785" s="19" t="n"/>
      <c r="R1785" s="19" t="n"/>
      <c r="S1785" s="19" t="n"/>
    </row>
    <row r="1786">
      <c r="A1786" s="19" t="n"/>
      <c r="B1786" s="19" t="n"/>
      <c r="C1786" s="19" t="n"/>
      <c r="D1786" s="19" t="n"/>
      <c r="E1786" s="19" t="n"/>
      <c r="F1786" s="19" t="n"/>
      <c r="G1786" s="19" t="n"/>
      <c r="H1786" s="19" t="n"/>
      <c r="I1786" s="19" t="n"/>
      <c r="J1786" s="19" t="n"/>
      <c r="K1786" s="19" t="n"/>
      <c r="L1786" s="19" t="n"/>
      <c r="M1786" s="19" t="n"/>
      <c r="N1786" s="19" t="n"/>
      <c r="O1786" s="19" t="n"/>
      <c r="P1786" s="19" t="n"/>
      <c r="Q1786" s="19" t="n"/>
      <c r="R1786" s="19" t="n"/>
      <c r="S1786" s="19" t="n"/>
    </row>
    <row r="1787">
      <c r="A1787" s="19" t="n"/>
      <c r="B1787" s="19" t="n"/>
      <c r="C1787" s="19" t="n"/>
      <c r="D1787" s="19" t="n"/>
      <c r="E1787" s="19" t="n"/>
      <c r="F1787" s="19" t="n"/>
      <c r="G1787" s="19" t="n"/>
      <c r="H1787" s="19" t="n"/>
      <c r="I1787" s="19" t="n"/>
      <c r="J1787" s="19" t="n"/>
      <c r="K1787" s="19" t="n"/>
      <c r="L1787" s="19" t="n"/>
      <c r="M1787" s="19" t="n"/>
      <c r="N1787" s="19" t="n"/>
      <c r="O1787" s="19" t="n"/>
      <c r="P1787" s="19" t="n"/>
      <c r="Q1787" s="19" t="n"/>
      <c r="R1787" s="19" t="n"/>
      <c r="S1787" s="19" t="n"/>
    </row>
    <row r="1788">
      <c r="A1788" s="19" t="n"/>
      <c r="B1788" s="19" t="n"/>
      <c r="C1788" s="19" t="n"/>
      <c r="D1788" s="19" t="n"/>
      <c r="E1788" s="19" t="n"/>
      <c r="F1788" s="19" t="n"/>
      <c r="G1788" s="19" t="n"/>
      <c r="H1788" s="19" t="n"/>
      <c r="I1788" s="19" t="n"/>
      <c r="J1788" s="19" t="n"/>
      <c r="K1788" s="19" t="n"/>
      <c r="L1788" s="19" t="n"/>
      <c r="M1788" s="19" t="n"/>
      <c r="N1788" s="19" t="n"/>
      <c r="O1788" s="19" t="n"/>
      <c r="P1788" s="19" t="n"/>
      <c r="Q1788" s="19" t="n"/>
      <c r="R1788" s="19" t="n"/>
      <c r="S1788" s="19" t="n"/>
    </row>
    <row r="1789">
      <c r="A1789" s="19" t="n"/>
      <c r="B1789" s="19" t="n"/>
      <c r="C1789" s="19" t="n"/>
      <c r="D1789" s="19" t="n"/>
      <c r="E1789" s="19" t="n"/>
      <c r="F1789" s="19" t="n"/>
      <c r="G1789" s="19" t="n"/>
      <c r="H1789" s="19" t="n"/>
      <c r="I1789" s="19" t="n"/>
      <c r="J1789" s="19" t="n"/>
      <c r="K1789" s="19" t="n"/>
      <c r="L1789" s="19" t="n"/>
      <c r="M1789" s="19" t="n"/>
      <c r="N1789" s="19" t="n"/>
      <c r="O1789" s="19" t="n"/>
      <c r="P1789" s="19" t="n"/>
      <c r="Q1789" s="19" t="n"/>
      <c r="R1789" s="19" t="n"/>
      <c r="S1789" s="19" t="n"/>
    </row>
    <row r="1790">
      <c r="A1790" s="19" t="n"/>
      <c r="B1790" s="19" t="n"/>
      <c r="C1790" s="19" t="n"/>
      <c r="D1790" s="19" t="n"/>
      <c r="E1790" s="19" t="n"/>
      <c r="F1790" s="19" t="n"/>
      <c r="G1790" s="19" t="n"/>
      <c r="H1790" s="19" t="n"/>
      <c r="I1790" s="19" t="n"/>
      <c r="J1790" s="19" t="n"/>
      <c r="K1790" s="19" t="n"/>
      <c r="L1790" s="19" t="n"/>
      <c r="M1790" s="19" t="n"/>
      <c r="N1790" s="19" t="n"/>
      <c r="O1790" s="19" t="n"/>
      <c r="P1790" s="19" t="n"/>
      <c r="Q1790" s="19" t="n"/>
      <c r="R1790" s="19" t="n"/>
      <c r="S1790" s="19" t="n"/>
    </row>
    <row r="1791">
      <c r="A1791" s="19" t="n"/>
      <c r="B1791" s="19" t="n"/>
      <c r="C1791" s="19" t="n"/>
      <c r="D1791" s="19" t="n"/>
      <c r="E1791" s="19" t="n"/>
      <c r="F1791" s="19" t="n"/>
      <c r="G1791" s="19" t="n"/>
      <c r="H1791" s="19" t="n"/>
      <c r="I1791" s="19" t="n"/>
      <c r="J1791" s="19" t="n"/>
      <c r="K1791" s="19" t="n"/>
      <c r="L1791" s="19" t="n"/>
      <c r="M1791" s="19" t="n"/>
      <c r="N1791" s="19" t="n"/>
      <c r="O1791" s="19" t="n"/>
      <c r="P1791" s="19" t="n"/>
      <c r="Q1791" s="19" t="n"/>
      <c r="R1791" s="19" t="n"/>
      <c r="S1791" s="19" t="n"/>
    </row>
    <row r="1792">
      <c r="A1792" s="19" t="n"/>
      <c r="B1792" s="19" t="n"/>
      <c r="C1792" s="19" t="n"/>
      <c r="D1792" s="19" t="n"/>
      <c r="E1792" s="19" t="n"/>
      <c r="F1792" s="19" t="n"/>
      <c r="G1792" s="19" t="n"/>
      <c r="H1792" s="19" t="n"/>
      <c r="I1792" s="19" t="n"/>
      <c r="J1792" s="19" t="n"/>
      <c r="K1792" s="19" t="n"/>
      <c r="L1792" s="19" t="n"/>
      <c r="M1792" s="19" t="n"/>
      <c r="N1792" s="19" t="n"/>
      <c r="O1792" s="19" t="n"/>
      <c r="P1792" s="19" t="n"/>
      <c r="Q1792" s="19" t="n"/>
      <c r="R1792" s="19" t="n"/>
      <c r="S1792" s="19" t="n"/>
    </row>
    <row r="1793">
      <c r="A1793" s="19" t="n"/>
      <c r="B1793" s="19" t="n"/>
      <c r="C1793" s="19" t="n"/>
      <c r="D1793" s="19" t="n"/>
      <c r="E1793" s="19" t="n"/>
      <c r="F1793" s="19" t="n"/>
      <c r="G1793" s="19" t="n"/>
      <c r="H1793" s="19" t="n"/>
      <c r="I1793" s="19" t="n"/>
      <c r="J1793" s="19" t="n"/>
      <c r="K1793" s="19" t="n"/>
      <c r="L1793" s="19" t="n"/>
      <c r="M1793" s="19" t="n"/>
      <c r="N1793" s="19" t="n"/>
      <c r="O1793" s="19" t="n"/>
      <c r="P1793" s="19" t="n"/>
      <c r="Q1793" s="19" t="n"/>
      <c r="R1793" s="19" t="n"/>
      <c r="S1793" s="19" t="n"/>
    </row>
    <row r="1794">
      <c r="A1794" s="19" t="n"/>
      <c r="B1794" s="19" t="n"/>
      <c r="C1794" s="19" t="n"/>
      <c r="D1794" s="19" t="n"/>
      <c r="E1794" s="19" t="n"/>
      <c r="F1794" s="19" t="n"/>
      <c r="G1794" s="19" t="n"/>
      <c r="H1794" s="19" t="n"/>
      <c r="I1794" s="19" t="n"/>
      <c r="J1794" s="19" t="n"/>
      <c r="K1794" s="19" t="n"/>
      <c r="L1794" s="19" t="n"/>
      <c r="M1794" s="19" t="n"/>
      <c r="N1794" s="19" t="n"/>
      <c r="O1794" s="19" t="n"/>
      <c r="P1794" s="19" t="n"/>
      <c r="Q1794" s="19" t="n"/>
      <c r="R1794" s="19" t="n"/>
      <c r="S1794" s="19" t="n"/>
    </row>
    <row r="1795">
      <c r="A1795" s="19" t="n"/>
      <c r="B1795" s="19" t="n"/>
      <c r="C1795" s="19" t="n"/>
      <c r="D1795" s="19" t="n"/>
      <c r="E1795" s="19" t="n"/>
      <c r="F1795" s="19" t="n"/>
      <c r="G1795" s="19" t="n"/>
      <c r="H1795" s="19" t="n"/>
      <c r="I1795" s="19" t="n"/>
      <c r="J1795" s="19" t="n"/>
      <c r="K1795" s="19" t="n"/>
      <c r="L1795" s="19" t="n"/>
      <c r="M1795" s="19" t="n"/>
      <c r="N1795" s="19" t="n"/>
      <c r="O1795" s="19" t="n"/>
      <c r="P1795" s="19" t="n"/>
      <c r="Q1795" s="19" t="n"/>
      <c r="R1795" s="19" t="n"/>
      <c r="S1795" s="19" t="n"/>
    </row>
    <row r="1796">
      <c r="A1796" s="19" t="n"/>
      <c r="B1796" s="19" t="n"/>
      <c r="C1796" s="19" t="n"/>
      <c r="D1796" s="19" t="n"/>
      <c r="E1796" s="19" t="n"/>
      <c r="F1796" s="19" t="n"/>
      <c r="G1796" s="19" t="n"/>
      <c r="H1796" s="19" t="n"/>
      <c r="I1796" s="19" t="n"/>
      <c r="J1796" s="19" t="n"/>
      <c r="K1796" s="19" t="n"/>
      <c r="L1796" s="19" t="n"/>
      <c r="M1796" s="19" t="n"/>
      <c r="N1796" s="19" t="n"/>
      <c r="O1796" s="19" t="n"/>
      <c r="P1796" s="19" t="n"/>
      <c r="Q1796" s="19" t="n"/>
      <c r="R1796" s="19" t="n"/>
      <c r="S1796" s="19" t="n"/>
    </row>
    <row r="1797">
      <c r="A1797" s="19" t="n"/>
      <c r="B1797" s="19" t="n"/>
      <c r="C1797" s="19" t="n"/>
      <c r="D1797" s="19" t="n"/>
      <c r="E1797" s="19" t="n"/>
      <c r="F1797" s="19" t="n"/>
      <c r="G1797" s="19" t="n"/>
      <c r="H1797" s="19" t="n"/>
      <c r="I1797" s="19" t="n"/>
      <c r="J1797" s="19" t="n"/>
      <c r="K1797" s="19" t="n"/>
      <c r="L1797" s="19" t="n"/>
      <c r="M1797" s="19" t="n"/>
      <c r="N1797" s="19" t="n"/>
      <c r="O1797" s="19" t="n"/>
      <c r="P1797" s="19" t="n"/>
      <c r="Q1797" s="19" t="n"/>
      <c r="R1797" s="19" t="n"/>
      <c r="S1797" s="19" t="n"/>
    </row>
    <row r="1798">
      <c r="A1798" s="19" t="n"/>
      <c r="B1798" s="19" t="n"/>
      <c r="C1798" s="19" t="n"/>
      <c r="D1798" s="19" t="n"/>
      <c r="E1798" s="19" t="n"/>
      <c r="F1798" s="19" t="n"/>
      <c r="G1798" s="19" t="n"/>
      <c r="H1798" s="19" t="n"/>
      <c r="I1798" s="19" t="n"/>
      <c r="J1798" s="19" t="n"/>
      <c r="K1798" s="19" t="n"/>
      <c r="L1798" s="19" t="n"/>
      <c r="M1798" s="19" t="n"/>
      <c r="N1798" s="19" t="n"/>
      <c r="O1798" s="19" t="n"/>
      <c r="P1798" s="19" t="n"/>
      <c r="Q1798" s="19" t="n"/>
      <c r="R1798" s="19" t="n"/>
      <c r="S1798" s="19" t="n"/>
    </row>
    <row r="1799">
      <c r="A1799" s="19" t="n"/>
      <c r="B1799" s="19" t="n"/>
      <c r="C1799" s="19" t="n"/>
      <c r="D1799" s="19" t="n"/>
      <c r="E1799" s="19" t="n"/>
      <c r="F1799" s="19" t="n"/>
      <c r="G1799" s="19" t="n"/>
      <c r="H1799" s="19" t="n"/>
      <c r="I1799" s="19" t="n"/>
      <c r="J1799" s="19" t="n"/>
      <c r="K1799" s="19" t="n"/>
      <c r="L1799" s="19" t="n"/>
      <c r="M1799" s="19" t="n"/>
      <c r="N1799" s="19" t="n"/>
      <c r="O1799" s="19" t="n"/>
      <c r="P1799" s="19" t="n"/>
      <c r="Q1799" s="19" t="n"/>
      <c r="R1799" s="19" t="n"/>
      <c r="S1799" s="19" t="n"/>
    </row>
    <row r="1800">
      <c r="A1800" s="19" t="n"/>
      <c r="B1800" s="19" t="n"/>
      <c r="C1800" s="19" t="n"/>
      <c r="D1800" s="19" t="n"/>
      <c r="E1800" s="19" t="n"/>
      <c r="F1800" s="19" t="n"/>
      <c r="G1800" s="19" t="n"/>
      <c r="H1800" s="19" t="n"/>
      <c r="I1800" s="19" t="n"/>
      <c r="J1800" s="19" t="n"/>
      <c r="K1800" s="19" t="n"/>
      <c r="L1800" s="19" t="n"/>
      <c r="M1800" s="19" t="n"/>
      <c r="N1800" s="19" t="n"/>
      <c r="O1800" s="19" t="n"/>
      <c r="P1800" s="19" t="n"/>
      <c r="Q1800" s="19" t="n"/>
      <c r="R1800" s="19" t="n"/>
      <c r="S1800" s="19" t="n"/>
    </row>
    <row r="1801">
      <c r="A1801" s="19" t="n"/>
      <c r="B1801" s="19" t="n"/>
      <c r="C1801" s="19" t="n"/>
      <c r="D1801" s="19" t="n"/>
      <c r="E1801" s="19" t="n"/>
      <c r="F1801" s="19" t="n"/>
      <c r="G1801" s="19" t="n"/>
      <c r="H1801" s="19" t="n"/>
      <c r="I1801" s="19" t="n"/>
      <c r="J1801" s="19" t="n"/>
      <c r="K1801" s="19" t="n"/>
      <c r="L1801" s="19" t="n"/>
      <c r="M1801" s="19" t="n"/>
      <c r="N1801" s="19" t="n"/>
      <c r="O1801" s="19" t="n"/>
      <c r="P1801" s="19" t="n"/>
      <c r="Q1801" s="19" t="n"/>
      <c r="R1801" s="19" t="n"/>
      <c r="S1801" s="19" t="n"/>
    </row>
    <row r="1802">
      <c r="A1802" s="19" t="n"/>
      <c r="B1802" s="19" t="n"/>
      <c r="C1802" s="19" t="n"/>
      <c r="D1802" s="19" t="n"/>
      <c r="E1802" s="19" t="n"/>
      <c r="F1802" s="19" t="n"/>
      <c r="G1802" s="19" t="n"/>
      <c r="H1802" s="19" t="n"/>
      <c r="I1802" s="19" t="n"/>
      <c r="J1802" s="19" t="n"/>
      <c r="K1802" s="19" t="n"/>
      <c r="L1802" s="19" t="n"/>
      <c r="M1802" s="19" t="n"/>
      <c r="N1802" s="19" t="n"/>
      <c r="O1802" s="19" t="n"/>
      <c r="P1802" s="19" t="n"/>
      <c r="Q1802" s="19" t="n"/>
      <c r="R1802" s="19" t="n"/>
      <c r="S1802" s="19" t="n"/>
    </row>
    <row r="1803">
      <c r="A1803" s="19" t="n"/>
      <c r="B1803" s="19" t="n"/>
      <c r="C1803" s="19" t="n"/>
      <c r="D1803" s="19" t="n"/>
      <c r="E1803" s="19" t="n"/>
      <c r="F1803" s="19" t="n"/>
      <c r="G1803" s="19" t="n"/>
      <c r="H1803" s="19" t="n"/>
      <c r="I1803" s="19" t="n"/>
      <c r="J1803" s="19" t="n"/>
      <c r="K1803" s="19" t="n"/>
      <c r="L1803" s="19" t="n"/>
      <c r="M1803" s="19" t="n"/>
      <c r="N1803" s="19" t="n"/>
      <c r="O1803" s="19" t="n"/>
      <c r="P1803" s="19" t="n"/>
      <c r="Q1803" s="19" t="n"/>
      <c r="R1803" s="19" t="n"/>
      <c r="S1803" s="19" t="n"/>
    </row>
    <row r="1804">
      <c r="A1804" s="19" t="n"/>
      <c r="B1804" s="19" t="n"/>
      <c r="C1804" s="19" t="n"/>
      <c r="D1804" s="19" t="n"/>
      <c r="E1804" s="19" t="n"/>
      <c r="F1804" s="19" t="n"/>
      <c r="G1804" s="19" t="n"/>
      <c r="H1804" s="19" t="n"/>
      <c r="I1804" s="19" t="n"/>
      <c r="J1804" s="19" t="n"/>
      <c r="K1804" s="19" t="n"/>
      <c r="L1804" s="19" t="n"/>
      <c r="M1804" s="19" t="n"/>
      <c r="N1804" s="19" t="n"/>
      <c r="O1804" s="19" t="n"/>
      <c r="P1804" s="19" t="n"/>
      <c r="Q1804" s="19" t="n"/>
      <c r="R1804" s="19" t="n"/>
      <c r="S1804" s="19" t="n"/>
    </row>
    <row r="1805">
      <c r="A1805" s="19" t="n"/>
      <c r="B1805" s="19" t="n"/>
      <c r="C1805" s="19" t="n"/>
      <c r="D1805" s="19" t="n"/>
      <c r="E1805" s="19" t="n"/>
      <c r="F1805" s="19" t="n"/>
      <c r="G1805" s="19" t="n"/>
      <c r="H1805" s="19" t="n"/>
      <c r="I1805" s="19" t="n"/>
      <c r="J1805" s="19" t="n"/>
      <c r="K1805" s="19" t="n"/>
      <c r="L1805" s="19" t="n"/>
      <c r="M1805" s="19" t="n"/>
      <c r="N1805" s="19" t="n"/>
      <c r="O1805" s="19" t="n"/>
      <c r="P1805" s="19" t="n"/>
      <c r="Q1805" s="19" t="n"/>
      <c r="R1805" s="19" t="n"/>
      <c r="S1805" s="19" t="n"/>
    </row>
    <row r="1806">
      <c r="A1806" s="19" t="n"/>
      <c r="B1806" s="19" t="n"/>
      <c r="C1806" s="19" t="n"/>
      <c r="D1806" s="19" t="n"/>
      <c r="E1806" s="19" t="n"/>
      <c r="F1806" s="19" t="n"/>
      <c r="G1806" s="19" t="n"/>
      <c r="H1806" s="19" t="n"/>
      <c r="I1806" s="19" t="n"/>
      <c r="J1806" s="19" t="n"/>
      <c r="K1806" s="19" t="n"/>
      <c r="L1806" s="19" t="n"/>
      <c r="M1806" s="19" t="n"/>
      <c r="N1806" s="19" t="n"/>
      <c r="O1806" s="19" t="n"/>
      <c r="P1806" s="19" t="n"/>
      <c r="Q1806" s="19" t="n"/>
      <c r="R1806" s="19" t="n"/>
      <c r="S1806" s="19" t="n"/>
    </row>
    <row r="1807">
      <c r="A1807" s="19" t="n"/>
      <c r="B1807" s="19" t="n"/>
      <c r="C1807" s="19" t="n"/>
      <c r="D1807" s="19" t="n"/>
      <c r="E1807" s="19" t="n"/>
      <c r="F1807" s="19" t="n"/>
      <c r="G1807" s="19" t="n"/>
      <c r="H1807" s="19" t="n"/>
      <c r="I1807" s="19" t="n"/>
      <c r="J1807" s="19" t="n"/>
      <c r="K1807" s="19" t="n"/>
      <c r="L1807" s="19" t="n"/>
      <c r="M1807" s="19" t="n"/>
      <c r="N1807" s="19" t="n"/>
      <c r="O1807" s="19" t="n"/>
      <c r="P1807" s="19" t="n"/>
      <c r="Q1807" s="19" t="n"/>
      <c r="R1807" s="19" t="n"/>
      <c r="S1807" s="19" t="n"/>
    </row>
    <row r="1808">
      <c r="A1808" s="19" t="n"/>
      <c r="B1808" s="19" t="n"/>
      <c r="C1808" s="19" t="n"/>
      <c r="D1808" s="19" t="n"/>
      <c r="E1808" s="19" t="n"/>
      <c r="F1808" s="19" t="n"/>
      <c r="G1808" s="19" t="n"/>
      <c r="H1808" s="19" t="n"/>
      <c r="I1808" s="19" t="n"/>
      <c r="J1808" s="19" t="n"/>
      <c r="K1808" s="19" t="n"/>
      <c r="L1808" s="19" t="n"/>
      <c r="M1808" s="19" t="n"/>
      <c r="N1808" s="19" t="n"/>
      <c r="O1808" s="19" t="n"/>
      <c r="P1808" s="19" t="n"/>
      <c r="Q1808" s="19" t="n"/>
      <c r="R1808" s="19" t="n"/>
      <c r="S1808" s="19" t="n"/>
    </row>
    <row r="1809">
      <c r="A1809" s="19" t="n"/>
      <c r="B1809" s="19" t="n"/>
      <c r="C1809" s="19" t="n"/>
      <c r="D1809" s="19" t="n"/>
      <c r="E1809" s="19" t="n"/>
      <c r="F1809" s="19" t="n"/>
      <c r="G1809" s="19" t="n"/>
      <c r="H1809" s="19" t="n"/>
      <c r="I1809" s="19" t="n"/>
      <c r="J1809" s="19" t="n"/>
      <c r="K1809" s="19" t="n"/>
      <c r="L1809" s="19" t="n"/>
      <c r="M1809" s="19" t="n"/>
      <c r="N1809" s="19" t="n"/>
      <c r="O1809" s="19" t="n"/>
      <c r="P1809" s="19" t="n"/>
      <c r="Q1809" s="19" t="n"/>
      <c r="R1809" s="19" t="n"/>
      <c r="S1809" s="19" t="n"/>
    </row>
    <row r="1810">
      <c r="A1810" s="19" t="n"/>
      <c r="B1810" s="19" t="n"/>
      <c r="C1810" s="19" t="n"/>
      <c r="D1810" s="19" t="n"/>
      <c r="E1810" s="19" t="n"/>
      <c r="F1810" s="19" t="n"/>
      <c r="G1810" s="19" t="n"/>
      <c r="H1810" s="19" t="n"/>
      <c r="I1810" s="19" t="n"/>
      <c r="J1810" s="19" t="n"/>
      <c r="K1810" s="19" t="n"/>
      <c r="L1810" s="19" t="n"/>
      <c r="M1810" s="19" t="n"/>
      <c r="N1810" s="19" t="n"/>
      <c r="O1810" s="19" t="n"/>
      <c r="P1810" s="19" t="n"/>
      <c r="Q1810" s="19" t="n"/>
      <c r="R1810" s="19" t="n"/>
      <c r="S1810" s="19" t="n"/>
    </row>
    <row r="1811">
      <c r="A1811" s="19" t="n"/>
      <c r="B1811" s="19" t="n"/>
      <c r="C1811" s="19" t="n"/>
      <c r="D1811" s="19" t="n"/>
      <c r="E1811" s="19" t="n"/>
      <c r="F1811" s="19" t="n"/>
      <c r="G1811" s="19" t="n"/>
      <c r="H1811" s="19" t="n"/>
      <c r="I1811" s="19" t="n"/>
      <c r="J1811" s="19" t="n"/>
      <c r="K1811" s="19" t="n"/>
      <c r="L1811" s="19" t="n"/>
      <c r="M1811" s="19" t="n"/>
      <c r="N1811" s="19" t="n"/>
      <c r="O1811" s="19" t="n"/>
      <c r="P1811" s="19" t="n"/>
      <c r="Q1811" s="19" t="n"/>
      <c r="R1811" s="19" t="n"/>
      <c r="S1811" s="19" t="n"/>
    </row>
    <row r="1812">
      <c r="A1812" s="19" t="n"/>
      <c r="B1812" s="19" t="n"/>
      <c r="C1812" s="19" t="n"/>
      <c r="D1812" s="19" t="n"/>
      <c r="E1812" s="19" t="n"/>
      <c r="F1812" s="19" t="n"/>
      <c r="G1812" s="19" t="n"/>
      <c r="H1812" s="19" t="n"/>
      <c r="I1812" s="19" t="n"/>
      <c r="J1812" s="19" t="n"/>
      <c r="K1812" s="19" t="n"/>
      <c r="L1812" s="19" t="n"/>
      <c r="M1812" s="19" t="n"/>
      <c r="N1812" s="19" t="n"/>
      <c r="O1812" s="19" t="n"/>
      <c r="P1812" s="19" t="n"/>
      <c r="Q1812" s="19" t="n"/>
      <c r="R1812" s="19" t="n"/>
      <c r="S1812" s="19" t="n"/>
    </row>
    <row r="1813">
      <c r="A1813" s="19" t="n"/>
      <c r="B1813" s="19" t="n"/>
      <c r="C1813" s="19" t="n"/>
      <c r="D1813" s="19" t="n"/>
      <c r="E1813" s="19" t="n"/>
      <c r="F1813" s="19" t="n"/>
      <c r="G1813" s="19" t="n"/>
      <c r="H1813" s="19" t="n"/>
      <c r="I1813" s="19" t="n"/>
      <c r="J1813" s="19" t="n"/>
      <c r="K1813" s="19" t="n"/>
      <c r="L1813" s="19" t="n"/>
      <c r="M1813" s="19" t="n"/>
      <c r="N1813" s="19" t="n"/>
      <c r="O1813" s="19" t="n"/>
      <c r="P1813" s="19" t="n"/>
      <c r="Q1813" s="19" t="n"/>
      <c r="R1813" s="19" t="n"/>
      <c r="S1813" s="19" t="n"/>
    </row>
    <row r="1814">
      <c r="A1814" s="19" t="n"/>
      <c r="B1814" s="19" t="n"/>
      <c r="C1814" s="19" t="n"/>
      <c r="D1814" s="19" t="n"/>
      <c r="E1814" s="19" t="n"/>
      <c r="F1814" s="19" t="n"/>
      <c r="G1814" s="19" t="n"/>
      <c r="H1814" s="19" t="n"/>
      <c r="I1814" s="19" t="n"/>
      <c r="J1814" s="19" t="n"/>
      <c r="K1814" s="19" t="n"/>
      <c r="L1814" s="19" t="n"/>
      <c r="M1814" s="19" t="n"/>
      <c r="N1814" s="19" t="n"/>
      <c r="O1814" s="19" t="n"/>
      <c r="P1814" s="19" t="n"/>
      <c r="Q1814" s="19" t="n"/>
      <c r="R1814" s="19" t="n"/>
      <c r="S1814" s="19" t="n"/>
    </row>
    <row r="1815">
      <c r="A1815" s="19" t="n"/>
      <c r="B1815" s="19" t="n"/>
      <c r="C1815" s="19" t="n"/>
      <c r="D1815" s="19" t="n"/>
      <c r="E1815" s="19" t="n"/>
      <c r="F1815" s="19" t="n"/>
      <c r="G1815" s="19" t="n"/>
      <c r="H1815" s="19" t="n"/>
      <c r="I1815" s="19" t="n"/>
      <c r="J1815" s="19" t="n"/>
      <c r="K1815" s="19" t="n"/>
      <c r="L1815" s="19" t="n"/>
      <c r="M1815" s="19" t="n"/>
      <c r="N1815" s="19" t="n"/>
      <c r="O1815" s="19" t="n"/>
      <c r="P1815" s="19" t="n"/>
      <c r="Q1815" s="19" t="n"/>
      <c r="R1815" s="19" t="n"/>
      <c r="S1815" s="19" t="n"/>
    </row>
    <row r="1816">
      <c r="A1816" s="19" t="n"/>
      <c r="B1816" s="19" t="n"/>
      <c r="C1816" s="19" t="n"/>
      <c r="D1816" s="19" t="n"/>
      <c r="E1816" s="19" t="n"/>
      <c r="F1816" s="19" t="n"/>
      <c r="G1816" s="19" t="n"/>
      <c r="H1816" s="19" t="n"/>
      <c r="I1816" s="19" t="n"/>
      <c r="J1816" s="19" t="n"/>
      <c r="K1816" s="19" t="n"/>
      <c r="L1816" s="19" t="n"/>
      <c r="M1816" s="19" t="n"/>
      <c r="N1816" s="19" t="n"/>
      <c r="O1816" s="19" t="n"/>
      <c r="P1816" s="19" t="n"/>
      <c r="Q1816" s="19" t="n"/>
      <c r="R1816" s="19" t="n"/>
      <c r="S1816" s="19" t="n"/>
    </row>
    <row r="1817">
      <c r="A1817" s="19" t="n"/>
      <c r="B1817" s="19" t="n"/>
      <c r="C1817" s="19" t="n"/>
      <c r="D1817" s="19" t="n"/>
      <c r="E1817" s="19" t="n"/>
      <c r="F1817" s="19" t="n"/>
      <c r="G1817" s="19" t="n"/>
      <c r="H1817" s="19" t="n"/>
      <c r="I1817" s="19" t="n"/>
      <c r="J1817" s="19" t="n"/>
      <c r="K1817" s="19" t="n"/>
      <c r="L1817" s="19" t="n"/>
      <c r="M1817" s="19" t="n"/>
      <c r="N1817" s="19" t="n"/>
      <c r="O1817" s="19" t="n"/>
      <c r="P1817" s="19" t="n"/>
      <c r="Q1817" s="19" t="n"/>
      <c r="R1817" s="19" t="n"/>
      <c r="S1817" s="19" t="n"/>
    </row>
    <row r="1818">
      <c r="A1818" s="19" t="n"/>
      <c r="B1818" s="19" t="n"/>
      <c r="C1818" s="19" t="n"/>
      <c r="D1818" s="19" t="n"/>
      <c r="E1818" s="19" t="n"/>
      <c r="F1818" s="19" t="n"/>
      <c r="G1818" s="19" t="n"/>
      <c r="H1818" s="19" t="n"/>
      <c r="I1818" s="19" t="n"/>
      <c r="J1818" s="19" t="n"/>
      <c r="K1818" s="19" t="n"/>
      <c r="L1818" s="19" t="n"/>
      <c r="M1818" s="19" t="n"/>
      <c r="N1818" s="19" t="n"/>
      <c r="O1818" s="19" t="n"/>
      <c r="P1818" s="19" t="n"/>
      <c r="Q1818" s="19" t="n"/>
      <c r="R1818" s="19" t="n"/>
      <c r="S1818" s="19" t="n"/>
    </row>
    <row r="1819">
      <c r="A1819" s="19" t="n"/>
      <c r="B1819" s="19" t="n"/>
      <c r="C1819" s="19" t="n"/>
      <c r="D1819" s="19" t="n"/>
      <c r="E1819" s="19" t="n"/>
      <c r="F1819" s="19" t="n"/>
      <c r="G1819" s="19" t="n"/>
      <c r="H1819" s="19" t="n"/>
      <c r="I1819" s="19" t="n"/>
      <c r="J1819" s="19" t="n"/>
      <c r="K1819" s="19" t="n"/>
      <c r="L1819" s="19" t="n"/>
      <c r="M1819" s="19" t="n"/>
      <c r="N1819" s="19" t="n"/>
      <c r="O1819" s="19" t="n"/>
      <c r="P1819" s="19" t="n"/>
      <c r="Q1819" s="19" t="n"/>
      <c r="R1819" s="19" t="n"/>
      <c r="S1819" s="19" t="n"/>
    </row>
    <row r="1820">
      <c r="A1820" s="19" t="n"/>
      <c r="B1820" s="19" t="n"/>
      <c r="C1820" s="19" t="n"/>
      <c r="D1820" s="19" t="n"/>
      <c r="E1820" s="19" t="n"/>
      <c r="F1820" s="19" t="n"/>
      <c r="G1820" s="19" t="n"/>
      <c r="H1820" s="19" t="n"/>
      <c r="I1820" s="19" t="n"/>
      <c r="J1820" s="19" t="n"/>
      <c r="K1820" s="19" t="n"/>
      <c r="L1820" s="19" t="n"/>
      <c r="M1820" s="19" t="n"/>
      <c r="N1820" s="19" t="n"/>
      <c r="O1820" s="19" t="n"/>
      <c r="P1820" s="19" t="n"/>
      <c r="Q1820" s="19" t="n"/>
      <c r="R1820" s="19" t="n"/>
      <c r="S1820" s="19" t="n"/>
    </row>
    <row r="1821">
      <c r="A1821" s="19" t="n"/>
      <c r="B1821" s="19" t="n"/>
      <c r="C1821" s="19" t="n"/>
      <c r="D1821" s="19" t="n"/>
      <c r="E1821" s="19" t="n"/>
      <c r="F1821" s="19" t="n"/>
      <c r="G1821" s="19" t="n"/>
      <c r="H1821" s="19" t="n"/>
      <c r="I1821" s="19" t="n"/>
      <c r="J1821" s="19" t="n"/>
      <c r="K1821" s="19" t="n"/>
      <c r="L1821" s="19" t="n"/>
      <c r="M1821" s="19" t="n"/>
      <c r="N1821" s="19" t="n"/>
      <c r="O1821" s="19" t="n"/>
      <c r="P1821" s="19" t="n"/>
      <c r="Q1821" s="19" t="n"/>
      <c r="R1821" s="19" t="n"/>
      <c r="S1821" s="19" t="n"/>
    </row>
    <row r="1822">
      <c r="A1822" s="19" t="n"/>
      <c r="B1822" s="19" t="n"/>
      <c r="C1822" s="19" t="n"/>
      <c r="D1822" s="19" t="n"/>
      <c r="E1822" s="19" t="n"/>
      <c r="F1822" s="19" t="n"/>
      <c r="G1822" s="19" t="n"/>
      <c r="H1822" s="19" t="n"/>
      <c r="I1822" s="19" t="n"/>
      <c r="J1822" s="19" t="n"/>
      <c r="K1822" s="19" t="n"/>
      <c r="L1822" s="19" t="n"/>
      <c r="M1822" s="19" t="n"/>
      <c r="N1822" s="19" t="n"/>
      <c r="O1822" s="19" t="n"/>
      <c r="P1822" s="19" t="n"/>
      <c r="Q1822" s="19" t="n"/>
      <c r="R1822" s="19" t="n"/>
      <c r="S1822" s="19" t="n"/>
    </row>
    <row r="1823">
      <c r="A1823" s="19" t="n"/>
      <c r="B1823" s="19" t="n"/>
      <c r="C1823" s="19" t="n"/>
      <c r="D1823" s="19" t="n"/>
      <c r="E1823" s="19" t="n"/>
      <c r="F1823" s="19" t="n"/>
      <c r="G1823" s="19" t="n"/>
      <c r="H1823" s="19" t="n"/>
      <c r="I1823" s="19" t="n"/>
      <c r="J1823" s="19" t="n"/>
      <c r="K1823" s="19" t="n"/>
      <c r="L1823" s="19" t="n"/>
      <c r="M1823" s="19" t="n"/>
      <c r="N1823" s="19" t="n"/>
      <c r="O1823" s="19" t="n"/>
      <c r="P1823" s="19" t="n"/>
      <c r="Q1823" s="19" t="n"/>
      <c r="R1823" s="19" t="n"/>
      <c r="S1823" s="19" t="n"/>
    </row>
    <row r="1824">
      <c r="A1824" s="19" t="n"/>
      <c r="B1824" s="19" t="n"/>
      <c r="C1824" s="19" t="n"/>
      <c r="D1824" s="19" t="n"/>
      <c r="E1824" s="19" t="n"/>
      <c r="F1824" s="19" t="n"/>
      <c r="G1824" s="19" t="n"/>
      <c r="H1824" s="19" t="n"/>
      <c r="I1824" s="19" t="n"/>
      <c r="J1824" s="19" t="n"/>
      <c r="K1824" s="19" t="n"/>
      <c r="L1824" s="19" t="n"/>
      <c r="M1824" s="19" t="n"/>
      <c r="N1824" s="19" t="n"/>
      <c r="O1824" s="19" t="n"/>
      <c r="P1824" s="19" t="n"/>
      <c r="Q1824" s="19" t="n"/>
      <c r="R1824" s="19" t="n"/>
      <c r="S1824" s="19" t="n"/>
    </row>
    <row r="1825">
      <c r="A1825" s="19" t="n"/>
      <c r="B1825" s="19" t="n"/>
      <c r="C1825" s="19" t="n"/>
      <c r="D1825" s="19" t="n"/>
      <c r="E1825" s="19" t="n"/>
      <c r="F1825" s="19" t="n"/>
      <c r="G1825" s="19" t="n"/>
      <c r="H1825" s="19" t="n"/>
      <c r="I1825" s="19" t="n"/>
      <c r="J1825" s="19" t="n"/>
      <c r="K1825" s="19" t="n"/>
      <c r="L1825" s="19" t="n"/>
      <c r="M1825" s="19" t="n"/>
      <c r="N1825" s="19" t="n"/>
      <c r="O1825" s="19" t="n"/>
      <c r="P1825" s="19" t="n"/>
      <c r="Q1825" s="19" t="n"/>
      <c r="R1825" s="19" t="n"/>
      <c r="S1825" s="19" t="n"/>
    </row>
    <row r="1826">
      <c r="A1826" s="19" t="n"/>
      <c r="B1826" s="19" t="n"/>
      <c r="C1826" s="19" t="n"/>
      <c r="D1826" s="19" t="n"/>
      <c r="E1826" s="19" t="n"/>
      <c r="F1826" s="19" t="n"/>
      <c r="G1826" s="19" t="n"/>
      <c r="H1826" s="19" t="n"/>
      <c r="I1826" s="19" t="n"/>
      <c r="J1826" s="19" t="n"/>
      <c r="K1826" s="19" t="n"/>
      <c r="L1826" s="19" t="n"/>
      <c r="M1826" s="19" t="n"/>
      <c r="N1826" s="19" t="n"/>
      <c r="O1826" s="19" t="n"/>
      <c r="P1826" s="19" t="n"/>
      <c r="Q1826" s="19" t="n"/>
      <c r="R1826" s="19" t="n"/>
      <c r="S1826" s="19" t="n"/>
    </row>
    <row r="1827">
      <c r="A1827" s="19" t="n"/>
      <c r="B1827" s="19" t="n"/>
      <c r="C1827" s="19" t="n"/>
      <c r="D1827" s="19" t="n"/>
      <c r="E1827" s="19" t="n"/>
      <c r="F1827" s="19" t="n"/>
      <c r="G1827" s="19" t="n"/>
      <c r="H1827" s="19" t="n"/>
      <c r="I1827" s="19" t="n"/>
      <c r="J1827" s="19" t="n"/>
      <c r="K1827" s="19" t="n"/>
      <c r="L1827" s="19" t="n"/>
      <c r="M1827" s="19" t="n"/>
      <c r="N1827" s="19" t="n"/>
      <c r="O1827" s="19" t="n"/>
      <c r="P1827" s="19" t="n"/>
      <c r="Q1827" s="19" t="n"/>
      <c r="R1827" s="19" t="n"/>
      <c r="S1827" s="19" t="n"/>
    </row>
    <row r="1828">
      <c r="A1828" s="19" t="n"/>
      <c r="B1828" s="19" t="n"/>
      <c r="C1828" s="19" t="n"/>
      <c r="D1828" s="19" t="n"/>
      <c r="E1828" s="19" t="n"/>
      <c r="F1828" s="19" t="n"/>
      <c r="G1828" s="19" t="n"/>
      <c r="H1828" s="19" t="n"/>
      <c r="I1828" s="19" t="n"/>
      <c r="J1828" s="19" t="n"/>
      <c r="K1828" s="19" t="n"/>
      <c r="L1828" s="19" t="n"/>
      <c r="M1828" s="19" t="n"/>
      <c r="N1828" s="19" t="n"/>
      <c r="O1828" s="19" t="n"/>
      <c r="P1828" s="19" t="n"/>
      <c r="Q1828" s="19" t="n"/>
      <c r="R1828" s="19" t="n"/>
      <c r="S1828" s="19" t="n"/>
    </row>
    <row r="1829">
      <c r="A1829" s="19" t="n"/>
      <c r="B1829" s="19" t="n"/>
      <c r="C1829" s="19" t="n"/>
      <c r="D1829" s="19" t="n"/>
      <c r="E1829" s="19" t="n"/>
      <c r="F1829" s="19" t="n"/>
      <c r="G1829" s="19" t="n"/>
      <c r="H1829" s="19" t="n"/>
      <c r="I1829" s="19" t="n"/>
      <c r="J1829" s="19" t="n"/>
      <c r="K1829" s="19" t="n"/>
      <c r="L1829" s="19" t="n"/>
      <c r="M1829" s="19" t="n"/>
      <c r="N1829" s="19" t="n"/>
      <c r="O1829" s="19" t="n"/>
      <c r="P1829" s="19" t="n"/>
      <c r="Q1829" s="19" t="n"/>
      <c r="R1829" s="19" t="n"/>
      <c r="S1829" s="19" t="n"/>
    </row>
    <row r="1830">
      <c r="A1830" s="19" t="n"/>
      <c r="B1830" s="19" t="n"/>
      <c r="C1830" s="19" t="n"/>
      <c r="D1830" s="19" t="n"/>
      <c r="E1830" s="19" t="n"/>
      <c r="F1830" s="19" t="n"/>
      <c r="G1830" s="19" t="n"/>
      <c r="H1830" s="19" t="n"/>
      <c r="I1830" s="19" t="n"/>
      <c r="J1830" s="19" t="n"/>
      <c r="K1830" s="19" t="n"/>
      <c r="L1830" s="19" t="n"/>
      <c r="M1830" s="19" t="n"/>
      <c r="N1830" s="19" t="n"/>
      <c r="O1830" s="19" t="n"/>
      <c r="P1830" s="19" t="n"/>
      <c r="Q1830" s="19" t="n"/>
      <c r="R1830" s="19" t="n"/>
      <c r="S1830" s="19" t="n"/>
    </row>
    <row r="1831">
      <c r="A1831" s="19" t="n"/>
      <c r="B1831" s="19" t="n"/>
      <c r="C1831" s="19" t="n"/>
      <c r="D1831" s="19" t="n"/>
      <c r="E1831" s="19" t="n"/>
      <c r="F1831" s="19" t="n"/>
      <c r="G1831" s="19" t="n"/>
      <c r="H1831" s="19" t="n"/>
      <c r="I1831" s="19" t="n"/>
      <c r="J1831" s="19" t="n"/>
      <c r="K1831" s="19" t="n"/>
      <c r="L1831" s="19" t="n"/>
      <c r="M1831" s="19" t="n"/>
      <c r="N1831" s="19" t="n"/>
      <c r="O1831" s="19" t="n"/>
      <c r="P1831" s="19" t="n"/>
      <c r="Q1831" s="19" t="n"/>
      <c r="R1831" s="19" t="n"/>
      <c r="S1831" s="19" t="n"/>
    </row>
    <row r="1832">
      <c r="A1832" s="19" t="n"/>
      <c r="B1832" s="19" t="n"/>
      <c r="C1832" s="19" t="n"/>
      <c r="D1832" s="19" t="n"/>
      <c r="E1832" s="19" t="n"/>
      <c r="F1832" s="19" t="n"/>
      <c r="G1832" s="19" t="n"/>
      <c r="H1832" s="19" t="n"/>
      <c r="I1832" s="19" t="n"/>
      <c r="J1832" s="19" t="n"/>
      <c r="K1832" s="19" t="n"/>
      <c r="L1832" s="19" t="n"/>
      <c r="M1832" s="19" t="n"/>
      <c r="N1832" s="19" t="n"/>
      <c r="O1832" s="19" t="n"/>
      <c r="P1832" s="19" t="n"/>
      <c r="Q1832" s="19" t="n"/>
      <c r="R1832" s="19" t="n"/>
      <c r="S1832" s="19" t="n"/>
    </row>
    <row r="1833">
      <c r="A1833" s="19" t="n"/>
      <c r="B1833" s="19" t="n"/>
      <c r="C1833" s="19" t="n"/>
      <c r="D1833" s="19" t="n"/>
      <c r="E1833" s="19" t="n"/>
      <c r="F1833" s="19" t="n"/>
      <c r="G1833" s="19" t="n"/>
      <c r="H1833" s="19" t="n"/>
      <c r="I1833" s="19" t="n"/>
      <c r="J1833" s="19" t="n"/>
      <c r="K1833" s="19" t="n"/>
      <c r="L1833" s="19" t="n"/>
      <c r="M1833" s="19" t="n"/>
      <c r="N1833" s="19" t="n"/>
      <c r="O1833" s="19" t="n"/>
      <c r="P1833" s="19" t="n"/>
      <c r="Q1833" s="19" t="n"/>
      <c r="R1833" s="19" t="n"/>
      <c r="S1833" s="19" t="n"/>
    </row>
    <row r="1834">
      <c r="A1834" s="19" t="n"/>
      <c r="B1834" s="19" t="n"/>
      <c r="C1834" s="19" t="n"/>
      <c r="D1834" s="19" t="n"/>
      <c r="E1834" s="19" t="n"/>
      <c r="F1834" s="19" t="n"/>
      <c r="G1834" s="19" t="n"/>
      <c r="H1834" s="19" t="n"/>
      <c r="I1834" s="19" t="n"/>
      <c r="J1834" s="19" t="n"/>
      <c r="K1834" s="19" t="n"/>
      <c r="L1834" s="19" t="n"/>
      <c r="M1834" s="19" t="n"/>
      <c r="N1834" s="19" t="n"/>
      <c r="O1834" s="19" t="n"/>
      <c r="P1834" s="19" t="n"/>
      <c r="Q1834" s="19" t="n"/>
      <c r="R1834" s="19" t="n"/>
      <c r="S1834" s="19" t="n"/>
    </row>
    <row r="1835">
      <c r="A1835" s="19" t="n"/>
      <c r="B1835" s="19" t="n"/>
      <c r="C1835" s="19" t="n"/>
      <c r="D1835" s="19" t="n"/>
      <c r="E1835" s="19" t="n"/>
      <c r="F1835" s="19" t="n"/>
      <c r="G1835" s="19" t="n"/>
      <c r="H1835" s="19" t="n"/>
      <c r="I1835" s="19" t="n"/>
      <c r="J1835" s="19" t="n"/>
      <c r="K1835" s="19" t="n"/>
      <c r="L1835" s="19" t="n"/>
      <c r="M1835" s="19" t="n"/>
      <c r="N1835" s="19" t="n"/>
      <c r="O1835" s="19" t="n"/>
      <c r="P1835" s="19" t="n"/>
      <c r="Q1835" s="19" t="n"/>
      <c r="R1835" s="19" t="n"/>
      <c r="S1835" s="19" t="n"/>
    </row>
    <row r="1836">
      <c r="A1836" s="19" t="n"/>
      <c r="B1836" s="19" t="n"/>
      <c r="C1836" s="19" t="n"/>
      <c r="D1836" s="19" t="n"/>
      <c r="E1836" s="19" t="n"/>
      <c r="F1836" s="19" t="n"/>
      <c r="G1836" s="19" t="n"/>
      <c r="H1836" s="19" t="n"/>
      <c r="I1836" s="19" t="n"/>
      <c r="J1836" s="19" t="n"/>
      <c r="K1836" s="19" t="n"/>
      <c r="L1836" s="19" t="n"/>
      <c r="M1836" s="19" t="n"/>
      <c r="N1836" s="19" t="n"/>
      <c r="O1836" s="19" t="n"/>
      <c r="P1836" s="19" t="n"/>
      <c r="Q1836" s="19" t="n"/>
      <c r="R1836" s="19" t="n"/>
      <c r="S1836" s="19" t="n"/>
    </row>
    <row r="1837">
      <c r="A1837" s="19" t="n"/>
      <c r="B1837" s="19" t="n"/>
      <c r="C1837" s="19" t="n"/>
      <c r="D1837" s="19" t="n"/>
      <c r="E1837" s="19" t="n"/>
      <c r="F1837" s="19" t="n"/>
      <c r="G1837" s="19" t="n"/>
      <c r="H1837" s="19" t="n"/>
      <c r="I1837" s="19" t="n"/>
      <c r="J1837" s="19" t="n"/>
      <c r="K1837" s="19" t="n"/>
      <c r="L1837" s="19" t="n"/>
      <c r="M1837" s="19" t="n"/>
      <c r="N1837" s="19" t="n"/>
      <c r="O1837" s="19" t="n"/>
      <c r="P1837" s="19" t="n"/>
      <c r="Q1837" s="19" t="n"/>
      <c r="R1837" s="19" t="n"/>
      <c r="S1837" s="19" t="n"/>
    </row>
    <row r="1838">
      <c r="A1838" s="19" t="n"/>
      <c r="B1838" s="19" t="n"/>
      <c r="C1838" s="19" t="n"/>
      <c r="D1838" s="19" t="n"/>
      <c r="E1838" s="19" t="n"/>
      <c r="F1838" s="19" t="n"/>
      <c r="G1838" s="19" t="n"/>
      <c r="H1838" s="19" t="n"/>
      <c r="I1838" s="19" t="n"/>
      <c r="J1838" s="19" t="n"/>
      <c r="K1838" s="19" t="n"/>
      <c r="L1838" s="19" t="n"/>
      <c r="M1838" s="19" t="n"/>
      <c r="N1838" s="19" t="n"/>
      <c r="O1838" s="19" t="n"/>
      <c r="P1838" s="19" t="n"/>
      <c r="Q1838" s="19" t="n"/>
      <c r="R1838" s="19" t="n"/>
      <c r="S1838" s="19" t="n"/>
    </row>
    <row r="1839">
      <c r="A1839" s="19" t="n"/>
      <c r="B1839" s="19" t="n"/>
      <c r="C1839" s="19" t="n"/>
      <c r="D1839" s="19" t="n"/>
      <c r="E1839" s="19" t="n"/>
      <c r="F1839" s="19" t="n"/>
      <c r="G1839" s="19" t="n"/>
      <c r="H1839" s="19" t="n"/>
      <c r="I1839" s="19" t="n"/>
      <c r="J1839" s="19" t="n"/>
      <c r="K1839" s="19" t="n"/>
      <c r="L1839" s="19" t="n"/>
      <c r="M1839" s="19" t="n"/>
      <c r="N1839" s="19" t="n"/>
      <c r="O1839" s="19" t="n"/>
      <c r="P1839" s="19" t="n"/>
      <c r="Q1839" s="19" t="n"/>
      <c r="R1839" s="19" t="n"/>
      <c r="S1839" s="19" t="n"/>
    </row>
    <row r="1840">
      <c r="A1840" s="19" t="n"/>
      <c r="B1840" s="19" t="n"/>
      <c r="C1840" s="19" t="n"/>
      <c r="D1840" s="19" t="n"/>
      <c r="E1840" s="19" t="n"/>
      <c r="F1840" s="19" t="n"/>
      <c r="G1840" s="19" t="n"/>
      <c r="H1840" s="19" t="n"/>
      <c r="I1840" s="19" t="n"/>
      <c r="J1840" s="19" t="n"/>
      <c r="K1840" s="19" t="n"/>
      <c r="L1840" s="19" t="n"/>
      <c r="M1840" s="19" t="n"/>
      <c r="N1840" s="19" t="n"/>
      <c r="O1840" s="19" t="n"/>
      <c r="P1840" s="19" t="n"/>
      <c r="Q1840" s="19" t="n"/>
      <c r="R1840" s="19" t="n"/>
      <c r="S1840" s="19" t="n"/>
    </row>
    <row r="1841">
      <c r="A1841" s="19" t="n"/>
      <c r="B1841" s="19" t="n"/>
      <c r="C1841" s="19" t="n"/>
      <c r="D1841" s="19" t="n"/>
      <c r="E1841" s="19" t="n"/>
      <c r="F1841" s="19" t="n"/>
      <c r="G1841" s="19" t="n"/>
      <c r="H1841" s="19" t="n"/>
      <c r="I1841" s="19" t="n"/>
      <c r="J1841" s="19" t="n"/>
      <c r="K1841" s="19" t="n"/>
      <c r="L1841" s="19" t="n"/>
      <c r="M1841" s="19" t="n"/>
      <c r="N1841" s="19" t="n"/>
      <c r="O1841" s="19" t="n"/>
      <c r="P1841" s="19" t="n"/>
      <c r="Q1841" s="19" t="n"/>
      <c r="R1841" s="19" t="n"/>
      <c r="S1841" s="19" t="n"/>
    </row>
    <row r="1842">
      <c r="A1842" s="19" t="n"/>
      <c r="B1842" s="19" t="n"/>
      <c r="C1842" s="19" t="n"/>
      <c r="D1842" s="19" t="n"/>
      <c r="E1842" s="19" t="n"/>
      <c r="F1842" s="19" t="n"/>
      <c r="G1842" s="19" t="n"/>
      <c r="H1842" s="19" t="n"/>
      <c r="I1842" s="19" t="n"/>
      <c r="J1842" s="19" t="n"/>
      <c r="K1842" s="19" t="n"/>
      <c r="L1842" s="19" t="n"/>
      <c r="M1842" s="19" t="n"/>
      <c r="N1842" s="19" t="n"/>
      <c r="O1842" s="19" t="n"/>
      <c r="P1842" s="19" t="n"/>
      <c r="Q1842" s="19" t="n"/>
      <c r="R1842" s="19" t="n"/>
      <c r="S1842" s="19" t="n"/>
    </row>
    <row r="1843">
      <c r="A1843" s="19" t="n"/>
      <c r="B1843" s="19" t="n"/>
      <c r="C1843" s="19" t="n"/>
      <c r="D1843" s="19" t="n"/>
      <c r="E1843" s="19" t="n"/>
      <c r="F1843" s="19" t="n"/>
      <c r="G1843" s="19" t="n"/>
      <c r="H1843" s="19" t="n"/>
      <c r="I1843" s="19" t="n"/>
      <c r="J1843" s="19" t="n"/>
      <c r="K1843" s="19" t="n"/>
      <c r="L1843" s="19" t="n"/>
      <c r="M1843" s="19" t="n"/>
      <c r="N1843" s="19" t="n"/>
      <c r="O1843" s="19" t="n"/>
      <c r="P1843" s="19" t="n"/>
      <c r="Q1843" s="19" t="n"/>
      <c r="R1843" s="19" t="n"/>
      <c r="S1843" s="19" t="n"/>
    </row>
    <row r="1844">
      <c r="A1844" s="19" t="n"/>
      <c r="B1844" s="19" t="n"/>
      <c r="C1844" s="19" t="n"/>
      <c r="D1844" s="19" t="n"/>
      <c r="E1844" s="19" t="n"/>
      <c r="F1844" s="19" t="n"/>
      <c r="G1844" s="19" t="n"/>
      <c r="H1844" s="19" t="n"/>
      <c r="I1844" s="19" t="n"/>
      <c r="J1844" s="19" t="n"/>
      <c r="K1844" s="19" t="n"/>
      <c r="L1844" s="19" t="n"/>
      <c r="M1844" s="19" t="n"/>
      <c r="N1844" s="19" t="n"/>
      <c r="O1844" s="19" t="n"/>
      <c r="P1844" s="19" t="n"/>
      <c r="Q1844" s="19" t="n"/>
      <c r="R1844" s="19" t="n"/>
      <c r="S1844" s="19" t="n"/>
    </row>
    <row r="1845">
      <c r="A1845" s="19" t="n"/>
      <c r="B1845" s="19" t="n"/>
      <c r="C1845" s="19" t="n"/>
      <c r="D1845" s="19" t="n"/>
      <c r="E1845" s="19" t="n"/>
      <c r="F1845" s="19" t="n"/>
      <c r="G1845" s="19" t="n"/>
      <c r="H1845" s="19" t="n"/>
      <c r="I1845" s="19" t="n"/>
      <c r="J1845" s="19" t="n"/>
      <c r="K1845" s="19" t="n"/>
      <c r="L1845" s="19" t="n"/>
      <c r="M1845" s="19" t="n"/>
      <c r="N1845" s="19" t="n"/>
      <c r="O1845" s="19" t="n"/>
      <c r="P1845" s="19" t="n"/>
      <c r="Q1845" s="19" t="n"/>
      <c r="R1845" s="19" t="n"/>
      <c r="S1845" s="19" t="n"/>
    </row>
    <row r="1846">
      <c r="A1846" s="19" t="n"/>
      <c r="B1846" s="19" t="n"/>
      <c r="C1846" s="19" t="n"/>
      <c r="D1846" s="19" t="n"/>
      <c r="E1846" s="19" t="n"/>
      <c r="F1846" s="19" t="n"/>
      <c r="G1846" s="19" t="n"/>
      <c r="H1846" s="19" t="n"/>
      <c r="I1846" s="19" t="n"/>
      <c r="J1846" s="19" t="n"/>
      <c r="K1846" s="19" t="n"/>
      <c r="L1846" s="19" t="n"/>
      <c r="M1846" s="19" t="n"/>
      <c r="N1846" s="19" t="n"/>
      <c r="O1846" s="19" t="n"/>
      <c r="P1846" s="19" t="n"/>
      <c r="Q1846" s="19" t="n"/>
      <c r="R1846" s="19" t="n"/>
      <c r="S1846" s="19" t="n"/>
    </row>
    <row r="1847">
      <c r="A1847" s="19" t="n"/>
      <c r="B1847" s="19" t="n"/>
      <c r="C1847" s="19" t="n"/>
      <c r="D1847" s="19" t="n"/>
      <c r="E1847" s="19" t="n"/>
      <c r="F1847" s="19" t="n"/>
      <c r="G1847" s="19" t="n"/>
      <c r="H1847" s="19" t="n"/>
      <c r="I1847" s="19" t="n"/>
      <c r="J1847" s="19" t="n"/>
      <c r="K1847" s="19" t="n"/>
      <c r="L1847" s="19" t="n"/>
      <c r="M1847" s="19" t="n"/>
      <c r="N1847" s="19" t="n"/>
      <c r="O1847" s="19" t="n"/>
      <c r="P1847" s="19" t="n"/>
      <c r="Q1847" s="19" t="n"/>
      <c r="R1847" s="19" t="n"/>
      <c r="S1847" s="19" t="n"/>
    </row>
    <row r="1848">
      <c r="A1848" s="19" t="n"/>
      <c r="B1848" s="19" t="n"/>
      <c r="C1848" s="19" t="n"/>
      <c r="D1848" s="19" t="n"/>
      <c r="E1848" s="19" t="n"/>
      <c r="F1848" s="19" t="n"/>
      <c r="G1848" s="19" t="n"/>
      <c r="H1848" s="19" t="n"/>
      <c r="I1848" s="19" t="n"/>
      <c r="J1848" s="19" t="n"/>
      <c r="K1848" s="19" t="n"/>
      <c r="L1848" s="19" t="n"/>
      <c r="M1848" s="19" t="n"/>
      <c r="N1848" s="19" t="n"/>
      <c r="O1848" s="19" t="n"/>
      <c r="P1848" s="19" t="n"/>
      <c r="Q1848" s="19" t="n"/>
      <c r="R1848" s="19" t="n"/>
      <c r="S1848" s="19" t="n"/>
    </row>
    <row r="1849">
      <c r="A1849" s="19" t="n"/>
      <c r="B1849" s="19" t="n"/>
      <c r="C1849" s="19" t="n"/>
      <c r="D1849" s="19" t="n"/>
      <c r="E1849" s="19" t="n"/>
      <c r="F1849" s="19" t="n"/>
      <c r="G1849" s="19" t="n"/>
      <c r="H1849" s="19" t="n"/>
      <c r="I1849" s="19" t="n"/>
      <c r="J1849" s="19" t="n"/>
      <c r="K1849" s="19" t="n"/>
      <c r="L1849" s="19" t="n"/>
      <c r="M1849" s="19" t="n"/>
      <c r="N1849" s="19" t="n"/>
      <c r="O1849" s="19" t="n"/>
      <c r="P1849" s="19" t="n"/>
      <c r="Q1849" s="19" t="n"/>
      <c r="R1849" s="19" t="n"/>
      <c r="S1849" s="19" t="n"/>
    </row>
    <row r="1850">
      <c r="A1850" s="19" t="n"/>
      <c r="B1850" s="19" t="n"/>
      <c r="C1850" s="19" t="n"/>
      <c r="D1850" s="19" t="n"/>
      <c r="E1850" s="19" t="n"/>
      <c r="F1850" s="19" t="n"/>
      <c r="G1850" s="19" t="n"/>
      <c r="H1850" s="19" t="n"/>
      <c r="I1850" s="19" t="n"/>
      <c r="J1850" s="19" t="n"/>
      <c r="K1850" s="19" t="n"/>
      <c r="L1850" s="19" t="n"/>
      <c r="M1850" s="19" t="n"/>
      <c r="N1850" s="19" t="n"/>
      <c r="O1850" s="19" t="n"/>
      <c r="P1850" s="19" t="n"/>
      <c r="Q1850" s="19" t="n"/>
      <c r="R1850" s="19" t="n"/>
      <c r="S1850" s="19" t="n"/>
    </row>
    <row r="1851">
      <c r="A1851" s="19" t="n"/>
      <c r="B1851" s="19" t="n"/>
      <c r="C1851" s="19" t="n"/>
      <c r="D1851" s="19" t="n"/>
      <c r="E1851" s="19" t="n"/>
      <c r="F1851" s="19" t="n"/>
      <c r="G1851" s="19" t="n"/>
      <c r="H1851" s="19" t="n"/>
      <c r="I1851" s="19" t="n"/>
      <c r="J1851" s="19" t="n"/>
      <c r="K1851" s="19" t="n"/>
      <c r="L1851" s="19" t="n"/>
      <c r="M1851" s="19" t="n"/>
      <c r="N1851" s="19" t="n"/>
      <c r="O1851" s="19" t="n"/>
      <c r="P1851" s="19" t="n"/>
      <c r="Q1851" s="19" t="n"/>
      <c r="R1851" s="19" t="n"/>
      <c r="S1851" s="19" t="n"/>
    </row>
    <row r="1852">
      <c r="A1852" s="19" t="n"/>
      <c r="B1852" s="19" t="n"/>
      <c r="C1852" s="19" t="n"/>
      <c r="D1852" s="19" t="n"/>
      <c r="E1852" s="19" t="n"/>
      <c r="F1852" s="19" t="n"/>
      <c r="G1852" s="19" t="n"/>
      <c r="H1852" s="19" t="n"/>
      <c r="I1852" s="19" t="n"/>
      <c r="J1852" s="19" t="n"/>
      <c r="K1852" s="19" t="n"/>
      <c r="L1852" s="19" t="n"/>
      <c r="M1852" s="19" t="n"/>
      <c r="N1852" s="19" t="n"/>
      <c r="O1852" s="19" t="n"/>
      <c r="P1852" s="19" t="n"/>
      <c r="Q1852" s="19" t="n"/>
      <c r="R1852" s="19" t="n"/>
      <c r="S1852" s="19" t="n"/>
    </row>
    <row r="1853">
      <c r="A1853" s="19" t="n"/>
      <c r="B1853" s="19" t="n"/>
      <c r="C1853" s="19" t="n"/>
      <c r="D1853" s="19" t="n"/>
      <c r="E1853" s="19" t="n"/>
      <c r="F1853" s="19" t="n"/>
      <c r="G1853" s="19" t="n"/>
      <c r="H1853" s="19" t="n"/>
      <c r="I1853" s="19" t="n"/>
      <c r="J1853" s="19" t="n"/>
      <c r="K1853" s="19" t="n"/>
      <c r="L1853" s="19" t="n"/>
      <c r="M1853" s="19" t="n"/>
      <c r="N1853" s="19" t="n"/>
      <c r="O1853" s="19" t="n"/>
      <c r="P1853" s="19" t="n"/>
      <c r="Q1853" s="19" t="n"/>
      <c r="R1853" s="19" t="n"/>
      <c r="S1853" s="19" t="n"/>
    </row>
    <row r="1854">
      <c r="A1854" s="19" t="n"/>
      <c r="B1854" s="19" t="n"/>
      <c r="C1854" s="19" t="n"/>
      <c r="D1854" s="19" t="n"/>
      <c r="E1854" s="19" t="n"/>
      <c r="F1854" s="19" t="n"/>
      <c r="G1854" s="19" t="n"/>
      <c r="H1854" s="19" t="n"/>
      <c r="I1854" s="19" t="n"/>
      <c r="J1854" s="19" t="n"/>
      <c r="K1854" s="19" t="n"/>
      <c r="L1854" s="19" t="n"/>
      <c r="M1854" s="19" t="n"/>
      <c r="N1854" s="19" t="n"/>
      <c r="O1854" s="19" t="n"/>
      <c r="P1854" s="19" t="n"/>
      <c r="Q1854" s="19" t="n"/>
      <c r="R1854" s="19" t="n"/>
      <c r="S1854" s="19" t="n"/>
    </row>
    <row r="1855">
      <c r="A1855" s="19" t="n"/>
      <c r="B1855" s="19" t="n"/>
      <c r="C1855" s="19" t="n"/>
      <c r="D1855" s="19" t="n"/>
      <c r="E1855" s="19" t="n"/>
      <c r="F1855" s="19" t="n"/>
      <c r="G1855" s="19" t="n"/>
      <c r="H1855" s="19" t="n"/>
      <c r="I1855" s="19" t="n"/>
      <c r="J1855" s="19" t="n"/>
      <c r="K1855" s="19" t="n"/>
      <c r="L1855" s="19" t="n"/>
      <c r="M1855" s="19" t="n"/>
      <c r="N1855" s="19" t="n"/>
      <c r="O1855" s="19" t="n"/>
      <c r="P1855" s="19" t="n"/>
      <c r="Q1855" s="19" t="n"/>
      <c r="R1855" s="19" t="n"/>
      <c r="S1855" s="19" t="n"/>
    </row>
    <row r="1856">
      <c r="A1856" s="19" t="n"/>
      <c r="B1856" s="19" t="n"/>
      <c r="C1856" s="19" t="n"/>
      <c r="D1856" s="19" t="n"/>
      <c r="E1856" s="19" t="n"/>
      <c r="F1856" s="19" t="n"/>
      <c r="G1856" s="19" t="n"/>
      <c r="H1856" s="19" t="n"/>
      <c r="I1856" s="19" t="n"/>
      <c r="J1856" s="19" t="n"/>
      <c r="K1856" s="19" t="n"/>
      <c r="L1856" s="19" t="n"/>
      <c r="M1856" s="19" t="n"/>
      <c r="N1856" s="19" t="n"/>
      <c r="O1856" s="19" t="n"/>
      <c r="P1856" s="19" t="n"/>
      <c r="Q1856" s="19" t="n"/>
      <c r="R1856" s="19" t="n"/>
      <c r="S1856" s="19" t="n"/>
    </row>
    <row r="1857">
      <c r="A1857" s="19" t="n"/>
      <c r="B1857" s="19" t="n"/>
      <c r="C1857" s="19" t="n"/>
      <c r="D1857" s="19" t="n"/>
      <c r="E1857" s="19" t="n"/>
      <c r="F1857" s="19" t="n"/>
      <c r="G1857" s="19" t="n"/>
      <c r="H1857" s="19" t="n"/>
      <c r="I1857" s="19" t="n"/>
      <c r="J1857" s="19" t="n"/>
      <c r="K1857" s="19" t="n"/>
      <c r="L1857" s="19" t="n"/>
      <c r="M1857" s="19" t="n"/>
      <c r="N1857" s="19" t="n"/>
      <c r="O1857" s="19" t="n"/>
      <c r="P1857" s="19" t="n"/>
      <c r="Q1857" s="19" t="n"/>
      <c r="R1857" s="19" t="n"/>
      <c r="S1857" s="19" t="n"/>
    </row>
    <row r="1858">
      <c r="A1858" s="19" t="n"/>
      <c r="B1858" s="19" t="n"/>
      <c r="C1858" s="19" t="n"/>
      <c r="D1858" s="19" t="n"/>
      <c r="E1858" s="19" t="n"/>
      <c r="F1858" s="19" t="n"/>
      <c r="G1858" s="19" t="n"/>
      <c r="H1858" s="19" t="n"/>
      <c r="I1858" s="19" t="n"/>
      <c r="J1858" s="19" t="n"/>
      <c r="K1858" s="19" t="n"/>
      <c r="L1858" s="19" t="n"/>
      <c r="M1858" s="19" t="n"/>
      <c r="N1858" s="19" t="n"/>
      <c r="O1858" s="19" t="n"/>
      <c r="P1858" s="19" t="n"/>
      <c r="Q1858" s="19" t="n"/>
      <c r="R1858" s="19" t="n"/>
      <c r="S1858" s="19" t="n"/>
    </row>
    <row r="1859">
      <c r="A1859" s="19" t="n"/>
      <c r="B1859" s="19" t="n"/>
      <c r="C1859" s="19" t="n"/>
      <c r="D1859" s="19" t="n"/>
      <c r="E1859" s="19" t="n"/>
      <c r="F1859" s="19" t="n"/>
      <c r="G1859" s="19" t="n"/>
      <c r="H1859" s="19" t="n"/>
      <c r="I1859" s="19" t="n"/>
      <c r="J1859" s="19" t="n"/>
      <c r="K1859" s="19" t="n"/>
      <c r="L1859" s="19" t="n"/>
      <c r="M1859" s="19" t="n"/>
      <c r="N1859" s="19" t="n"/>
      <c r="O1859" s="19" t="n"/>
      <c r="P1859" s="19" t="n"/>
      <c r="Q1859" s="19" t="n"/>
      <c r="R1859" s="19" t="n"/>
      <c r="S1859" s="19" t="n"/>
    </row>
    <row r="1860">
      <c r="A1860" s="19" t="n"/>
      <c r="B1860" s="19" t="n"/>
      <c r="C1860" s="19" t="n"/>
      <c r="D1860" s="19" t="n"/>
      <c r="E1860" s="19" t="n"/>
      <c r="F1860" s="19" t="n"/>
      <c r="G1860" s="19" t="n"/>
      <c r="H1860" s="19" t="n"/>
      <c r="I1860" s="19" t="n"/>
      <c r="J1860" s="19" t="n"/>
      <c r="K1860" s="19" t="n"/>
      <c r="L1860" s="19" t="n"/>
      <c r="M1860" s="19" t="n"/>
      <c r="N1860" s="19" t="n"/>
      <c r="O1860" s="19" t="n"/>
      <c r="P1860" s="19" t="n"/>
      <c r="Q1860" s="19" t="n"/>
      <c r="R1860" s="19" t="n"/>
      <c r="S1860" s="19" t="n"/>
    </row>
    <row r="1861">
      <c r="A1861" s="19" t="n"/>
      <c r="B1861" s="19" t="n"/>
      <c r="C1861" s="19" t="n"/>
      <c r="D1861" s="19" t="n"/>
      <c r="E1861" s="19" t="n"/>
      <c r="F1861" s="19" t="n"/>
      <c r="G1861" s="19" t="n"/>
      <c r="H1861" s="19" t="n"/>
      <c r="I1861" s="19" t="n"/>
      <c r="J1861" s="19" t="n"/>
      <c r="K1861" s="19" t="n"/>
      <c r="L1861" s="19" t="n"/>
      <c r="M1861" s="19" t="n"/>
      <c r="N1861" s="19" t="n"/>
      <c r="O1861" s="19" t="n"/>
      <c r="P1861" s="19" t="n"/>
      <c r="Q1861" s="19" t="n"/>
      <c r="R1861" s="19" t="n"/>
      <c r="S1861" s="19" t="n"/>
    </row>
    <row r="1862">
      <c r="A1862" s="19" t="n"/>
      <c r="B1862" s="19" t="n"/>
      <c r="C1862" s="19" t="n"/>
      <c r="D1862" s="19" t="n"/>
      <c r="E1862" s="19" t="n"/>
      <c r="F1862" s="19" t="n"/>
      <c r="G1862" s="19" t="n"/>
      <c r="H1862" s="19" t="n"/>
      <c r="I1862" s="19" t="n"/>
      <c r="J1862" s="19" t="n"/>
      <c r="K1862" s="19" t="n"/>
      <c r="L1862" s="19" t="n"/>
      <c r="M1862" s="19" t="n"/>
      <c r="N1862" s="19" t="n"/>
      <c r="O1862" s="19" t="n"/>
      <c r="P1862" s="19" t="n"/>
      <c r="Q1862" s="19" t="n"/>
      <c r="R1862" s="19" t="n"/>
      <c r="S1862" s="19" t="n"/>
    </row>
    <row r="1863">
      <c r="A1863" s="19" t="n"/>
      <c r="B1863" s="19" t="n"/>
      <c r="C1863" s="19" t="n"/>
      <c r="D1863" s="19" t="n"/>
      <c r="E1863" s="19" t="n"/>
      <c r="F1863" s="19" t="n"/>
      <c r="G1863" s="19" t="n"/>
      <c r="H1863" s="19" t="n"/>
      <c r="I1863" s="19" t="n"/>
      <c r="J1863" s="19" t="n"/>
      <c r="K1863" s="19" t="n"/>
      <c r="L1863" s="19" t="n"/>
      <c r="M1863" s="19" t="n"/>
      <c r="N1863" s="19" t="n"/>
      <c r="O1863" s="19" t="n"/>
      <c r="P1863" s="19" t="n"/>
      <c r="Q1863" s="19" t="n"/>
      <c r="R1863" s="19" t="n"/>
      <c r="S1863" s="19" t="n"/>
    </row>
    <row r="1864">
      <c r="A1864" s="19" t="n"/>
      <c r="B1864" s="19" t="n"/>
      <c r="C1864" s="19" t="n"/>
      <c r="D1864" s="19" t="n"/>
      <c r="E1864" s="19" t="n"/>
      <c r="F1864" s="19" t="n"/>
      <c r="G1864" s="19" t="n"/>
      <c r="H1864" s="19" t="n"/>
      <c r="I1864" s="19" t="n"/>
      <c r="J1864" s="19" t="n"/>
      <c r="K1864" s="19" t="n"/>
      <c r="L1864" s="19" t="n"/>
      <c r="M1864" s="19" t="n"/>
      <c r="N1864" s="19" t="n"/>
      <c r="O1864" s="19" t="n"/>
      <c r="P1864" s="19" t="n"/>
      <c r="Q1864" s="19" t="n"/>
      <c r="R1864" s="19" t="n"/>
      <c r="S1864" s="19" t="n"/>
    </row>
    <row r="1865">
      <c r="A1865" s="19" t="n"/>
      <c r="B1865" s="19" t="n"/>
      <c r="C1865" s="19" t="n"/>
      <c r="D1865" s="19" t="n"/>
      <c r="E1865" s="19" t="n"/>
      <c r="F1865" s="19" t="n"/>
      <c r="G1865" s="19" t="n"/>
      <c r="H1865" s="19" t="n"/>
      <c r="I1865" s="19" t="n"/>
      <c r="J1865" s="19" t="n"/>
      <c r="K1865" s="19" t="n"/>
      <c r="L1865" s="19" t="n"/>
      <c r="M1865" s="19" t="n"/>
      <c r="N1865" s="19" t="n"/>
      <c r="O1865" s="19" t="n"/>
      <c r="P1865" s="19" t="n"/>
      <c r="Q1865" s="19" t="n"/>
      <c r="R1865" s="19" t="n"/>
      <c r="S1865" s="19" t="n"/>
    </row>
    <row r="1866">
      <c r="A1866" s="19" t="n"/>
      <c r="B1866" s="19" t="n"/>
      <c r="C1866" s="19" t="n"/>
      <c r="D1866" s="19" t="n"/>
      <c r="E1866" s="19" t="n"/>
      <c r="F1866" s="19" t="n"/>
      <c r="G1866" s="19" t="n"/>
      <c r="H1866" s="19" t="n"/>
      <c r="I1866" s="19" t="n"/>
      <c r="J1866" s="19" t="n"/>
      <c r="K1866" s="19" t="n"/>
      <c r="L1866" s="19" t="n"/>
      <c r="M1866" s="19" t="n"/>
      <c r="N1866" s="19" t="n"/>
      <c r="O1866" s="19" t="n"/>
      <c r="P1866" s="19" t="n"/>
      <c r="Q1866" s="19" t="n"/>
      <c r="R1866" s="19" t="n"/>
      <c r="S1866" s="19" t="n"/>
    </row>
    <row r="1867">
      <c r="A1867" s="19" t="n"/>
      <c r="B1867" s="19" t="n"/>
      <c r="C1867" s="19" t="n"/>
      <c r="D1867" s="19" t="n"/>
      <c r="E1867" s="19" t="n"/>
      <c r="F1867" s="19" t="n"/>
      <c r="G1867" s="19" t="n"/>
      <c r="H1867" s="19" t="n"/>
      <c r="I1867" s="19" t="n"/>
      <c r="J1867" s="19" t="n"/>
      <c r="K1867" s="19" t="n"/>
      <c r="L1867" s="19" t="n"/>
      <c r="M1867" s="19" t="n"/>
      <c r="N1867" s="19" t="n"/>
      <c r="O1867" s="19" t="n"/>
      <c r="P1867" s="19" t="n"/>
      <c r="Q1867" s="19" t="n"/>
      <c r="R1867" s="19" t="n"/>
      <c r="S1867" s="19" t="n"/>
    </row>
    <row r="1868">
      <c r="A1868" s="19" t="n"/>
      <c r="B1868" s="19" t="n"/>
      <c r="C1868" s="19" t="n"/>
      <c r="D1868" s="19" t="n"/>
      <c r="E1868" s="19" t="n"/>
      <c r="F1868" s="19" t="n"/>
      <c r="G1868" s="19" t="n"/>
      <c r="H1868" s="19" t="n"/>
      <c r="I1868" s="19" t="n"/>
      <c r="J1868" s="19" t="n"/>
      <c r="K1868" s="19" t="n"/>
      <c r="L1868" s="19" t="n"/>
      <c r="M1868" s="19" t="n"/>
      <c r="N1868" s="19" t="n"/>
      <c r="O1868" s="19" t="n"/>
      <c r="P1868" s="19" t="n"/>
      <c r="Q1868" s="19" t="n"/>
      <c r="R1868" s="19" t="n"/>
      <c r="S1868" s="19" t="n"/>
    </row>
    <row r="1869">
      <c r="A1869" s="19" t="n"/>
      <c r="B1869" s="19" t="n"/>
      <c r="C1869" s="19" t="n"/>
      <c r="D1869" s="19" t="n"/>
      <c r="E1869" s="19" t="n"/>
      <c r="F1869" s="19" t="n"/>
      <c r="G1869" s="19" t="n"/>
      <c r="H1869" s="19" t="n"/>
      <c r="I1869" s="19" t="n"/>
      <c r="J1869" s="19" t="n"/>
      <c r="K1869" s="19" t="n"/>
      <c r="L1869" s="19" t="n"/>
      <c r="M1869" s="19" t="n"/>
      <c r="N1869" s="19" t="n"/>
      <c r="O1869" s="19" t="n"/>
      <c r="P1869" s="19" t="n"/>
      <c r="Q1869" s="19" t="n"/>
      <c r="R1869" s="19" t="n"/>
      <c r="S1869" s="19" t="n"/>
    </row>
    <row r="1870">
      <c r="A1870" s="19" t="n"/>
      <c r="B1870" s="19" t="n"/>
      <c r="C1870" s="19" t="n"/>
      <c r="D1870" s="19" t="n"/>
      <c r="E1870" s="19" t="n"/>
      <c r="F1870" s="19" t="n"/>
      <c r="G1870" s="19" t="n"/>
      <c r="H1870" s="19" t="n"/>
      <c r="I1870" s="19" t="n"/>
      <c r="J1870" s="19" t="n"/>
      <c r="K1870" s="19" t="n"/>
      <c r="L1870" s="19" t="n"/>
      <c r="M1870" s="19" t="n"/>
      <c r="N1870" s="19" t="n"/>
      <c r="O1870" s="19" t="n"/>
      <c r="P1870" s="19" t="n"/>
      <c r="Q1870" s="19" t="n"/>
      <c r="R1870" s="19" t="n"/>
      <c r="S1870" s="19" t="n"/>
    </row>
    <row r="1871">
      <c r="A1871" s="19" t="n"/>
      <c r="B1871" s="19" t="n"/>
      <c r="C1871" s="19" t="n"/>
      <c r="D1871" s="19" t="n"/>
      <c r="E1871" s="19" t="n"/>
      <c r="F1871" s="19" t="n"/>
      <c r="G1871" s="19" t="n"/>
      <c r="H1871" s="19" t="n"/>
      <c r="I1871" s="19" t="n"/>
      <c r="J1871" s="19" t="n"/>
      <c r="K1871" s="19" t="n"/>
      <c r="L1871" s="19" t="n"/>
      <c r="M1871" s="19" t="n"/>
      <c r="N1871" s="19" t="n"/>
      <c r="O1871" s="19" t="n"/>
      <c r="P1871" s="19" t="n"/>
      <c r="Q1871" s="19" t="n"/>
      <c r="R1871" s="19" t="n"/>
      <c r="S1871" s="19" t="n"/>
    </row>
    <row r="1872">
      <c r="A1872" s="19" t="n"/>
      <c r="B1872" s="19" t="n"/>
      <c r="C1872" s="19" t="n"/>
      <c r="D1872" s="19" t="n"/>
      <c r="E1872" s="19" t="n"/>
      <c r="F1872" s="19" t="n"/>
      <c r="G1872" s="19" t="n"/>
      <c r="H1872" s="19" t="n"/>
      <c r="I1872" s="19" t="n"/>
      <c r="J1872" s="19" t="n"/>
      <c r="K1872" s="19" t="n"/>
      <c r="L1872" s="19" t="n"/>
      <c r="M1872" s="19" t="n"/>
      <c r="N1872" s="19" t="n"/>
      <c r="O1872" s="19" t="n"/>
      <c r="P1872" s="19" t="n"/>
      <c r="Q1872" s="19" t="n"/>
      <c r="R1872" s="19" t="n"/>
      <c r="S1872" s="19" t="n"/>
    </row>
    <row r="1873">
      <c r="A1873" s="19" t="n"/>
      <c r="B1873" s="19" t="n"/>
      <c r="C1873" s="19" t="n"/>
      <c r="D1873" s="19" t="n"/>
      <c r="E1873" s="19" t="n"/>
      <c r="F1873" s="19" t="n"/>
      <c r="G1873" s="19" t="n"/>
      <c r="H1873" s="19" t="n"/>
      <c r="I1873" s="19" t="n"/>
      <c r="J1873" s="19" t="n"/>
      <c r="K1873" s="19" t="n"/>
      <c r="L1873" s="19" t="n"/>
      <c r="M1873" s="19" t="n"/>
      <c r="N1873" s="19" t="n"/>
      <c r="O1873" s="19" t="n"/>
      <c r="P1873" s="19" t="n"/>
      <c r="Q1873" s="19" t="n"/>
      <c r="R1873" s="19" t="n"/>
      <c r="S1873" s="19" t="n"/>
    </row>
    <row r="1874">
      <c r="A1874" s="19" t="n"/>
      <c r="B1874" s="19" t="n"/>
      <c r="C1874" s="19" t="n"/>
      <c r="D1874" s="19" t="n"/>
      <c r="E1874" s="19" t="n"/>
      <c r="F1874" s="19" t="n"/>
      <c r="G1874" s="19" t="n"/>
      <c r="H1874" s="19" t="n"/>
      <c r="I1874" s="19" t="n"/>
      <c r="J1874" s="19" t="n"/>
      <c r="K1874" s="19" t="n"/>
      <c r="L1874" s="19" t="n"/>
      <c r="M1874" s="19" t="n"/>
      <c r="N1874" s="19" t="n"/>
      <c r="O1874" s="19" t="n"/>
      <c r="P1874" s="19" t="n"/>
      <c r="Q1874" s="19" t="n"/>
      <c r="R1874" s="19" t="n"/>
      <c r="S1874" s="19" t="n"/>
    </row>
    <row r="1875">
      <c r="A1875" s="19" t="n"/>
      <c r="B1875" s="19" t="n"/>
      <c r="C1875" s="19" t="n"/>
      <c r="D1875" s="19" t="n"/>
      <c r="E1875" s="19" t="n"/>
      <c r="F1875" s="19" t="n"/>
      <c r="G1875" s="19" t="n"/>
      <c r="H1875" s="19" t="n"/>
      <c r="I1875" s="19" t="n"/>
      <c r="J1875" s="19" t="n"/>
      <c r="K1875" s="19" t="n"/>
      <c r="L1875" s="19" t="n"/>
      <c r="M1875" s="19" t="n"/>
      <c r="N1875" s="19" t="n"/>
      <c r="O1875" s="19" t="n"/>
      <c r="P1875" s="19" t="n"/>
      <c r="Q1875" s="19" t="n"/>
      <c r="R1875" s="19" t="n"/>
      <c r="S1875" s="19" t="n"/>
    </row>
    <row r="1876">
      <c r="A1876" s="19" t="n"/>
      <c r="B1876" s="19" t="n"/>
      <c r="C1876" s="19" t="n"/>
      <c r="D1876" s="19" t="n"/>
      <c r="E1876" s="19" t="n"/>
      <c r="F1876" s="19" t="n"/>
      <c r="G1876" s="19" t="n"/>
      <c r="H1876" s="19" t="n"/>
      <c r="I1876" s="19" t="n"/>
      <c r="J1876" s="19" t="n"/>
      <c r="K1876" s="19" t="n"/>
      <c r="L1876" s="19" t="n"/>
      <c r="M1876" s="19" t="n"/>
      <c r="N1876" s="19" t="n"/>
      <c r="O1876" s="19" t="n"/>
      <c r="P1876" s="19" t="n"/>
      <c r="Q1876" s="19" t="n"/>
      <c r="R1876" s="19" t="n"/>
      <c r="S1876" s="19" t="n"/>
    </row>
    <row r="1877">
      <c r="A1877" s="19" t="n"/>
      <c r="B1877" s="19" t="n"/>
      <c r="C1877" s="19" t="n"/>
      <c r="D1877" s="19" t="n"/>
      <c r="E1877" s="19" t="n"/>
      <c r="F1877" s="19" t="n"/>
      <c r="G1877" s="19" t="n"/>
      <c r="H1877" s="19" t="n"/>
      <c r="I1877" s="19" t="n"/>
      <c r="J1877" s="19" t="n"/>
      <c r="K1877" s="19" t="n"/>
      <c r="L1877" s="19" t="n"/>
      <c r="M1877" s="19" t="n"/>
      <c r="N1877" s="19" t="n"/>
      <c r="O1877" s="19" t="n"/>
      <c r="P1877" s="19" t="n"/>
      <c r="Q1877" s="19" t="n"/>
      <c r="R1877" s="19" t="n"/>
      <c r="S1877" s="19" t="n"/>
    </row>
    <row r="1878">
      <c r="A1878" s="19" t="n"/>
      <c r="B1878" s="19" t="n"/>
      <c r="C1878" s="19" t="n"/>
      <c r="D1878" s="19" t="n"/>
      <c r="E1878" s="19" t="n"/>
      <c r="F1878" s="19" t="n"/>
      <c r="G1878" s="19" t="n"/>
      <c r="H1878" s="19" t="n"/>
      <c r="I1878" s="19" t="n"/>
      <c r="J1878" s="19" t="n"/>
      <c r="K1878" s="19" t="n"/>
      <c r="L1878" s="19" t="n"/>
      <c r="M1878" s="19" t="n"/>
      <c r="N1878" s="19" t="n"/>
      <c r="O1878" s="19" t="n"/>
      <c r="P1878" s="19" t="n"/>
      <c r="Q1878" s="19" t="n"/>
      <c r="R1878" s="19" t="n"/>
      <c r="S1878" s="19" t="n"/>
    </row>
    <row r="1879">
      <c r="A1879" s="19" t="n"/>
      <c r="B1879" s="19" t="n"/>
      <c r="C1879" s="19" t="n"/>
      <c r="D1879" s="19" t="n"/>
      <c r="E1879" s="19" t="n"/>
      <c r="F1879" s="19" t="n"/>
      <c r="G1879" s="19" t="n"/>
      <c r="H1879" s="19" t="n"/>
      <c r="I1879" s="19" t="n"/>
      <c r="J1879" s="19" t="n"/>
      <c r="K1879" s="19" t="n"/>
      <c r="L1879" s="19" t="n"/>
      <c r="M1879" s="19" t="n"/>
      <c r="N1879" s="19" t="n"/>
      <c r="O1879" s="19" t="n"/>
      <c r="P1879" s="19" t="n"/>
      <c r="Q1879" s="19" t="n"/>
      <c r="R1879" s="19" t="n"/>
      <c r="S1879" s="19" t="n"/>
    </row>
    <row r="1880">
      <c r="A1880" s="19" t="n"/>
      <c r="B1880" s="19" t="n"/>
      <c r="C1880" s="19" t="n"/>
      <c r="D1880" s="19" t="n"/>
      <c r="E1880" s="19" t="n"/>
      <c r="F1880" s="19" t="n"/>
      <c r="G1880" s="19" t="n"/>
      <c r="H1880" s="19" t="n"/>
      <c r="I1880" s="19" t="n"/>
      <c r="J1880" s="19" t="n"/>
      <c r="K1880" s="19" t="n"/>
      <c r="L1880" s="19" t="n"/>
      <c r="M1880" s="19" t="n"/>
      <c r="N1880" s="19" t="n"/>
      <c r="O1880" s="19" t="n"/>
      <c r="P1880" s="19" t="n"/>
      <c r="Q1880" s="19" t="n"/>
      <c r="R1880" s="19" t="n"/>
      <c r="S1880" s="19" t="n"/>
    </row>
    <row r="1881">
      <c r="A1881" s="19" t="n"/>
      <c r="B1881" s="19" t="n"/>
      <c r="C1881" s="19" t="n"/>
      <c r="D1881" s="19" t="n"/>
      <c r="E1881" s="19" t="n"/>
      <c r="F1881" s="19" t="n"/>
      <c r="G1881" s="19" t="n"/>
      <c r="H1881" s="19" t="n"/>
      <c r="I1881" s="19" t="n"/>
      <c r="J1881" s="19" t="n"/>
      <c r="K1881" s="19" t="n"/>
      <c r="L1881" s="19" t="n"/>
      <c r="M1881" s="19" t="n"/>
      <c r="N1881" s="19" t="n"/>
      <c r="O1881" s="19" t="n"/>
      <c r="P1881" s="19" t="n"/>
      <c r="Q1881" s="19" t="n"/>
      <c r="R1881" s="19" t="n"/>
      <c r="S1881" s="19" t="n"/>
    </row>
    <row r="1882">
      <c r="A1882" s="19" t="n"/>
      <c r="B1882" s="19" t="n"/>
      <c r="C1882" s="19" t="n"/>
      <c r="D1882" s="19" t="n"/>
      <c r="E1882" s="19" t="n"/>
      <c r="F1882" s="19" t="n"/>
      <c r="G1882" s="19" t="n"/>
      <c r="H1882" s="19" t="n"/>
      <c r="I1882" s="19" t="n"/>
      <c r="J1882" s="19" t="n"/>
      <c r="K1882" s="19" t="n"/>
      <c r="L1882" s="19" t="n"/>
      <c r="M1882" s="19" t="n"/>
      <c r="N1882" s="19" t="n"/>
      <c r="O1882" s="19" t="n"/>
      <c r="P1882" s="19" t="n"/>
      <c r="Q1882" s="19" t="n"/>
      <c r="R1882" s="19" t="n"/>
      <c r="S1882" s="19" t="n"/>
    </row>
    <row r="1883">
      <c r="A1883" s="19" t="n"/>
      <c r="B1883" s="19" t="n"/>
      <c r="C1883" s="19" t="n"/>
      <c r="D1883" s="19" t="n"/>
      <c r="E1883" s="19" t="n"/>
      <c r="F1883" s="19" t="n"/>
      <c r="G1883" s="19" t="n"/>
      <c r="H1883" s="19" t="n"/>
      <c r="I1883" s="19" t="n"/>
      <c r="J1883" s="19" t="n"/>
      <c r="K1883" s="19" t="n"/>
      <c r="L1883" s="19" t="n"/>
      <c r="M1883" s="19" t="n"/>
      <c r="N1883" s="19" t="n"/>
      <c r="O1883" s="19" t="n"/>
      <c r="P1883" s="19" t="n"/>
      <c r="Q1883" s="19" t="n"/>
      <c r="R1883" s="19" t="n"/>
      <c r="S1883" s="19" t="n"/>
    </row>
    <row r="1884">
      <c r="A1884" s="19" t="n"/>
      <c r="B1884" s="19" t="n"/>
      <c r="C1884" s="19" t="n"/>
      <c r="D1884" s="19" t="n"/>
      <c r="E1884" s="19" t="n"/>
      <c r="F1884" s="19" t="n"/>
      <c r="G1884" s="19" t="n"/>
      <c r="H1884" s="19" t="n"/>
      <c r="I1884" s="19" t="n"/>
      <c r="J1884" s="19" t="n"/>
      <c r="K1884" s="19" t="n"/>
      <c r="L1884" s="19" t="n"/>
      <c r="M1884" s="19" t="n"/>
      <c r="N1884" s="19" t="n"/>
      <c r="O1884" s="19" t="n"/>
      <c r="P1884" s="19" t="n"/>
      <c r="Q1884" s="19" t="n"/>
      <c r="R1884" s="19" t="n"/>
      <c r="S1884" s="19" t="n"/>
    </row>
    <row r="1885">
      <c r="A1885" s="19" t="n"/>
      <c r="B1885" s="19" t="n"/>
      <c r="C1885" s="19" t="n"/>
      <c r="D1885" s="19" t="n"/>
      <c r="E1885" s="19" t="n"/>
      <c r="F1885" s="19" t="n"/>
      <c r="G1885" s="19" t="n"/>
      <c r="H1885" s="19" t="n"/>
      <c r="I1885" s="19" t="n"/>
      <c r="J1885" s="19" t="n"/>
      <c r="K1885" s="19" t="n"/>
      <c r="L1885" s="19" t="n"/>
      <c r="M1885" s="19" t="n"/>
      <c r="N1885" s="19" t="n"/>
      <c r="O1885" s="19" t="n"/>
      <c r="P1885" s="19" t="n"/>
      <c r="Q1885" s="19" t="n"/>
      <c r="R1885" s="19" t="n"/>
      <c r="S1885" s="19" t="n"/>
    </row>
    <row r="1886">
      <c r="A1886" s="19" t="n"/>
      <c r="B1886" s="19" t="n"/>
      <c r="C1886" s="19" t="n"/>
      <c r="D1886" s="19" t="n"/>
      <c r="E1886" s="19" t="n"/>
      <c r="F1886" s="19" t="n"/>
      <c r="G1886" s="19" t="n"/>
      <c r="H1886" s="19" t="n"/>
      <c r="I1886" s="19" t="n"/>
      <c r="J1886" s="19" t="n"/>
      <c r="K1886" s="19" t="n"/>
      <c r="L1886" s="19" t="n"/>
      <c r="M1886" s="19" t="n"/>
      <c r="N1886" s="19" t="n"/>
      <c r="O1886" s="19" t="n"/>
      <c r="P1886" s="19" t="n"/>
      <c r="Q1886" s="19" t="n"/>
      <c r="R1886" s="19" t="n"/>
      <c r="S1886" s="19" t="n"/>
    </row>
    <row r="1887">
      <c r="A1887" s="19" t="n"/>
      <c r="B1887" s="19" t="n"/>
      <c r="C1887" s="19" t="n"/>
      <c r="D1887" s="19" t="n"/>
      <c r="E1887" s="19" t="n"/>
      <c r="F1887" s="19" t="n"/>
      <c r="G1887" s="19" t="n"/>
      <c r="H1887" s="19" t="n"/>
      <c r="I1887" s="19" t="n"/>
      <c r="J1887" s="19" t="n"/>
      <c r="K1887" s="19" t="n"/>
      <c r="L1887" s="19" t="n"/>
      <c r="M1887" s="19" t="n"/>
      <c r="N1887" s="19" t="n"/>
      <c r="O1887" s="19" t="n"/>
      <c r="P1887" s="19" t="n"/>
      <c r="Q1887" s="19" t="n"/>
      <c r="R1887" s="19" t="n"/>
      <c r="S1887" s="19" t="n"/>
    </row>
    <row r="1888">
      <c r="A1888" s="19" t="n"/>
      <c r="B1888" s="19" t="n"/>
      <c r="C1888" s="19" t="n"/>
      <c r="D1888" s="19" t="n"/>
      <c r="E1888" s="19" t="n"/>
      <c r="F1888" s="19" t="n"/>
      <c r="G1888" s="19" t="n"/>
      <c r="H1888" s="19" t="n"/>
      <c r="I1888" s="19" t="n"/>
      <c r="J1888" s="19" t="n"/>
      <c r="K1888" s="19" t="n"/>
      <c r="L1888" s="19" t="n"/>
      <c r="M1888" s="19" t="n"/>
      <c r="N1888" s="19" t="n"/>
      <c r="O1888" s="19" t="n"/>
      <c r="P1888" s="19" t="n"/>
      <c r="Q1888" s="19" t="n"/>
      <c r="R1888" s="19" t="n"/>
      <c r="S1888" s="19" t="n"/>
    </row>
    <row r="1889">
      <c r="A1889" s="19" t="n"/>
      <c r="B1889" s="19" t="n"/>
      <c r="C1889" s="19" t="n"/>
      <c r="D1889" s="19" t="n"/>
      <c r="E1889" s="19" t="n"/>
      <c r="F1889" s="19" t="n"/>
      <c r="G1889" s="19" t="n"/>
      <c r="H1889" s="19" t="n"/>
      <c r="I1889" s="19" t="n"/>
      <c r="J1889" s="19" t="n"/>
      <c r="K1889" s="19" t="n"/>
      <c r="L1889" s="19" t="n"/>
      <c r="M1889" s="19" t="n"/>
      <c r="N1889" s="19" t="n"/>
      <c r="O1889" s="19" t="n"/>
      <c r="P1889" s="19" t="n"/>
      <c r="Q1889" s="19" t="n"/>
      <c r="R1889" s="19" t="n"/>
      <c r="S1889" s="19" t="n"/>
    </row>
    <row r="1890">
      <c r="A1890" s="19" t="n"/>
      <c r="B1890" s="19" t="n"/>
      <c r="C1890" s="19" t="n"/>
      <c r="D1890" s="19" t="n"/>
      <c r="E1890" s="19" t="n"/>
      <c r="F1890" s="19" t="n"/>
      <c r="G1890" s="19" t="n"/>
      <c r="H1890" s="19" t="n"/>
      <c r="I1890" s="19" t="n"/>
      <c r="J1890" s="19" t="n"/>
      <c r="K1890" s="19" t="n"/>
      <c r="L1890" s="19" t="n"/>
      <c r="M1890" s="19" t="n"/>
      <c r="N1890" s="19" t="n"/>
      <c r="O1890" s="19" t="n"/>
      <c r="P1890" s="19" t="n"/>
      <c r="Q1890" s="19" t="n"/>
      <c r="R1890" s="19" t="n"/>
      <c r="S1890" s="19" t="n"/>
    </row>
    <row r="1891">
      <c r="A1891" s="19" t="n"/>
      <c r="B1891" s="19" t="n"/>
      <c r="C1891" s="19" t="n"/>
      <c r="D1891" s="19" t="n"/>
      <c r="E1891" s="19" t="n"/>
      <c r="F1891" s="19" t="n"/>
      <c r="G1891" s="19" t="n"/>
      <c r="H1891" s="19" t="n"/>
      <c r="I1891" s="19" t="n"/>
      <c r="J1891" s="19" t="n"/>
      <c r="K1891" s="19" t="n"/>
      <c r="L1891" s="19" t="n"/>
      <c r="M1891" s="19" t="n"/>
      <c r="N1891" s="19" t="n"/>
      <c r="O1891" s="19" t="n"/>
      <c r="P1891" s="19" t="n"/>
      <c r="Q1891" s="19" t="n"/>
      <c r="R1891" s="19" t="n"/>
      <c r="S1891" s="19" t="n"/>
    </row>
    <row r="1892">
      <c r="A1892" s="19" t="n"/>
      <c r="B1892" s="19" t="n"/>
      <c r="C1892" s="19" t="n"/>
      <c r="D1892" s="19" t="n"/>
      <c r="E1892" s="19" t="n"/>
      <c r="F1892" s="19" t="n"/>
      <c r="G1892" s="19" t="n"/>
      <c r="H1892" s="19" t="n"/>
      <c r="I1892" s="19" t="n"/>
      <c r="J1892" s="19" t="n"/>
      <c r="K1892" s="19" t="n"/>
      <c r="L1892" s="19" t="n"/>
      <c r="M1892" s="19" t="n"/>
      <c r="N1892" s="19" t="n"/>
      <c r="O1892" s="19" t="n"/>
      <c r="P1892" s="19" t="n"/>
      <c r="Q1892" s="19" t="n"/>
      <c r="R1892" s="19" t="n"/>
      <c r="S1892" s="19" t="n"/>
    </row>
    <row r="1893">
      <c r="A1893" s="19" t="n"/>
      <c r="B1893" s="19" t="n"/>
      <c r="C1893" s="19" t="n"/>
      <c r="D1893" s="19" t="n"/>
      <c r="E1893" s="19" t="n"/>
      <c r="F1893" s="19" t="n"/>
      <c r="G1893" s="19" t="n"/>
      <c r="H1893" s="19" t="n"/>
      <c r="I1893" s="19" t="n"/>
      <c r="J1893" s="19" t="n"/>
      <c r="K1893" s="19" t="n"/>
      <c r="L1893" s="19" t="n"/>
      <c r="M1893" s="19" t="n"/>
      <c r="N1893" s="19" t="n"/>
      <c r="O1893" s="19" t="n"/>
      <c r="P1893" s="19" t="n"/>
      <c r="Q1893" s="19" t="n"/>
      <c r="R1893" s="19" t="n"/>
      <c r="S1893" s="19" t="n"/>
    </row>
    <row r="1894">
      <c r="A1894" s="19" t="n"/>
      <c r="B1894" s="19" t="n"/>
      <c r="C1894" s="19" t="n"/>
      <c r="D1894" s="19" t="n"/>
      <c r="E1894" s="19" t="n"/>
      <c r="F1894" s="19" t="n"/>
      <c r="G1894" s="19" t="n"/>
      <c r="H1894" s="19" t="n"/>
      <c r="I1894" s="19" t="n"/>
      <c r="J1894" s="19" t="n"/>
      <c r="K1894" s="19" t="n"/>
      <c r="L1894" s="19" t="n"/>
      <c r="M1894" s="19" t="n"/>
      <c r="N1894" s="19" t="n"/>
      <c r="O1894" s="19" t="n"/>
      <c r="P1894" s="19" t="n"/>
      <c r="Q1894" s="19" t="n"/>
      <c r="R1894" s="19" t="n"/>
      <c r="S1894" s="19" t="n"/>
    </row>
    <row r="1895">
      <c r="A1895" s="19" t="n"/>
      <c r="B1895" s="19" t="n"/>
      <c r="C1895" s="19" t="n"/>
      <c r="D1895" s="19" t="n"/>
      <c r="E1895" s="19" t="n"/>
      <c r="F1895" s="19" t="n"/>
      <c r="G1895" s="19" t="n"/>
      <c r="H1895" s="19" t="n"/>
      <c r="I1895" s="19" t="n"/>
      <c r="J1895" s="19" t="n"/>
      <c r="K1895" s="19" t="n"/>
      <c r="L1895" s="19" t="n"/>
      <c r="M1895" s="19" t="n"/>
      <c r="N1895" s="19" t="n"/>
      <c r="O1895" s="19" t="n"/>
      <c r="P1895" s="19" t="n"/>
      <c r="Q1895" s="19" t="n"/>
      <c r="R1895" s="19" t="n"/>
      <c r="S1895" s="19" t="n"/>
    </row>
    <row r="1896">
      <c r="A1896" s="19" t="n"/>
      <c r="B1896" s="19" t="n"/>
      <c r="C1896" s="19" t="n"/>
      <c r="D1896" s="19" t="n"/>
      <c r="E1896" s="19" t="n"/>
      <c r="F1896" s="19" t="n"/>
      <c r="G1896" s="19" t="n"/>
      <c r="H1896" s="19" t="n"/>
      <c r="I1896" s="19" t="n"/>
      <c r="J1896" s="19" t="n"/>
      <c r="K1896" s="19" t="n"/>
      <c r="L1896" s="19" t="n"/>
      <c r="M1896" s="19" t="n"/>
      <c r="N1896" s="19" t="n"/>
      <c r="O1896" s="19" t="n"/>
      <c r="P1896" s="19" t="n"/>
      <c r="Q1896" s="19" t="n"/>
      <c r="R1896" s="19" t="n"/>
      <c r="S1896" s="19" t="n"/>
    </row>
    <row r="1897">
      <c r="A1897" s="19" t="n"/>
      <c r="B1897" s="19" t="n"/>
      <c r="C1897" s="19" t="n"/>
      <c r="D1897" s="19" t="n"/>
      <c r="E1897" s="19" t="n"/>
      <c r="F1897" s="19" t="n"/>
      <c r="G1897" s="19" t="n"/>
      <c r="H1897" s="19" t="n"/>
      <c r="I1897" s="19" t="n"/>
      <c r="J1897" s="19" t="n"/>
      <c r="K1897" s="19" t="n"/>
      <c r="L1897" s="19" t="n"/>
      <c r="M1897" s="19" t="n"/>
      <c r="N1897" s="19" t="n"/>
      <c r="O1897" s="19" t="n"/>
      <c r="P1897" s="19" t="n"/>
      <c r="Q1897" s="19" t="n"/>
      <c r="R1897" s="19" t="n"/>
      <c r="S1897" s="19" t="n"/>
    </row>
    <row r="1898">
      <c r="A1898" s="19" t="n"/>
      <c r="B1898" s="19" t="n"/>
      <c r="C1898" s="19" t="n"/>
      <c r="D1898" s="19" t="n"/>
      <c r="E1898" s="19" t="n"/>
      <c r="F1898" s="19" t="n"/>
      <c r="G1898" s="19" t="n"/>
      <c r="H1898" s="19" t="n"/>
      <c r="I1898" s="19" t="n"/>
      <c r="J1898" s="19" t="n"/>
      <c r="K1898" s="19" t="n"/>
      <c r="L1898" s="19" t="n"/>
      <c r="M1898" s="19" t="n"/>
      <c r="N1898" s="19" t="n"/>
      <c r="O1898" s="19" t="n"/>
      <c r="P1898" s="19" t="n"/>
      <c r="Q1898" s="19" t="n"/>
      <c r="R1898" s="19" t="n"/>
      <c r="S1898" s="19" t="n"/>
    </row>
    <row r="1899">
      <c r="A1899" s="19" t="n"/>
      <c r="B1899" s="19" t="n"/>
      <c r="C1899" s="19" t="n"/>
      <c r="D1899" s="19" t="n"/>
      <c r="E1899" s="19" t="n"/>
      <c r="F1899" s="19" t="n"/>
      <c r="G1899" s="19" t="n"/>
      <c r="H1899" s="19" t="n"/>
      <c r="I1899" s="19" t="n"/>
      <c r="J1899" s="19" t="n"/>
      <c r="K1899" s="19" t="n"/>
      <c r="L1899" s="19" t="n"/>
      <c r="M1899" s="19" t="n"/>
      <c r="N1899" s="19" t="n"/>
      <c r="O1899" s="19" t="n"/>
      <c r="P1899" s="19" t="n"/>
      <c r="Q1899" s="19" t="n"/>
      <c r="R1899" s="19" t="n"/>
      <c r="S1899" s="19" t="n"/>
    </row>
    <row r="1900">
      <c r="A1900" s="19" t="n"/>
      <c r="B1900" s="19" t="n"/>
      <c r="C1900" s="19" t="n"/>
      <c r="D1900" s="19" t="n"/>
      <c r="E1900" s="19" t="n"/>
      <c r="F1900" s="19" t="n"/>
      <c r="G1900" s="19" t="n"/>
      <c r="H1900" s="19" t="n"/>
      <c r="I1900" s="19" t="n"/>
      <c r="J1900" s="19" t="n"/>
      <c r="K1900" s="19" t="n"/>
      <c r="L1900" s="19" t="n"/>
      <c r="M1900" s="19" t="n"/>
      <c r="N1900" s="19" t="n"/>
      <c r="O1900" s="19" t="n"/>
      <c r="P1900" s="19" t="n"/>
      <c r="Q1900" s="19" t="n"/>
      <c r="R1900" s="19" t="n"/>
      <c r="S1900" s="19" t="n"/>
    </row>
    <row r="1901">
      <c r="A1901" s="19" t="n"/>
      <c r="B1901" s="19" t="n"/>
      <c r="C1901" s="19" t="n"/>
      <c r="D1901" s="19" t="n"/>
      <c r="E1901" s="19" t="n"/>
      <c r="F1901" s="19" t="n"/>
      <c r="G1901" s="19" t="n"/>
      <c r="H1901" s="19" t="n"/>
      <c r="I1901" s="19" t="n"/>
      <c r="J1901" s="19" t="n"/>
      <c r="K1901" s="19" t="n"/>
      <c r="L1901" s="19" t="n"/>
      <c r="M1901" s="19" t="n"/>
      <c r="N1901" s="19" t="n"/>
      <c r="O1901" s="19" t="n"/>
      <c r="P1901" s="19" t="n"/>
      <c r="Q1901" s="19" t="n"/>
      <c r="R1901" s="19" t="n"/>
      <c r="S1901" s="19" t="n"/>
    </row>
    <row r="1902">
      <c r="A1902" s="19" t="n"/>
      <c r="B1902" s="19" t="n"/>
      <c r="C1902" s="19" t="n"/>
      <c r="D1902" s="19" t="n"/>
      <c r="E1902" s="19" t="n"/>
      <c r="F1902" s="19" t="n"/>
      <c r="G1902" s="19" t="n"/>
      <c r="H1902" s="19" t="n"/>
      <c r="I1902" s="19" t="n"/>
      <c r="J1902" s="19" t="n"/>
      <c r="K1902" s="19" t="n"/>
      <c r="L1902" s="19" t="n"/>
      <c r="M1902" s="19" t="n"/>
      <c r="N1902" s="19" t="n"/>
      <c r="O1902" s="19" t="n"/>
      <c r="P1902" s="19" t="n"/>
      <c r="Q1902" s="19" t="n"/>
      <c r="R1902" s="19" t="n"/>
      <c r="S1902" s="19" t="n"/>
    </row>
    <row r="1903">
      <c r="A1903" s="19" t="n"/>
      <c r="B1903" s="19" t="n"/>
      <c r="C1903" s="19" t="n"/>
      <c r="D1903" s="19" t="n"/>
      <c r="E1903" s="19" t="n"/>
      <c r="F1903" s="19" t="n"/>
      <c r="G1903" s="19" t="n"/>
      <c r="H1903" s="19" t="n"/>
      <c r="I1903" s="19" t="n"/>
      <c r="J1903" s="19" t="n"/>
      <c r="K1903" s="19" t="n"/>
      <c r="L1903" s="19" t="n"/>
      <c r="M1903" s="19" t="n"/>
      <c r="N1903" s="19" t="n"/>
      <c r="O1903" s="19" t="n"/>
      <c r="P1903" s="19" t="n"/>
      <c r="Q1903" s="19" t="n"/>
      <c r="R1903" s="19" t="n"/>
      <c r="S1903" s="19" t="n"/>
    </row>
    <row r="1904">
      <c r="A1904" s="19" t="n"/>
      <c r="B1904" s="19" t="n"/>
      <c r="C1904" s="19" t="n"/>
      <c r="D1904" s="19" t="n"/>
      <c r="E1904" s="19" t="n"/>
      <c r="F1904" s="19" t="n"/>
      <c r="G1904" s="19" t="n"/>
      <c r="H1904" s="19" t="n"/>
      <c r="I1904" s="19" t="n"/>
      <c r="J1904" s="19" t="n"/>
      <c r="K1904" s="19" t="n"/>
      <c r="L1904" s="19" t="n"/>
      <c r="M1904" s="19" t="n"/>
      <c r="N1904" s="19" t="n"/>
      <c r="O1904" s="19" t="n"/>
      <c r="P1904" s="19" t="n"/>
      <c r="Q1904" s="19" t="n"/>
      <c r="R1904" s="19" t="n"/>
      <c r="S1904" s="19" t="n"/>
    </row>
    <row r="1905">
      <c r="A1905" s="19" t="n"/>
      <c r="B1905" s="19" t="n"/>
      <c r="C1905" s="19" t="n"/>
      <c r="D1905" s="19" t="n"/>
      <c r="E1905" s="19" t="n"/>
      <c r="F1905" s="19" t="n"/>
      <c r="G1905" s="19" t="n"/>
      <c r="H1905" s="19" t="n"/>
      <c r="I1905" s="19" t="n"/>
      <c r="J1905" s="19" t="n"/>
      <c r="K1905" s="19" t="n"/>
      <c r="L1905" s="19" t="n"/>
      <c r="M1905" s="19" t="n"/>
      <c r="N1905" s="19" t="n"/>
      <c r="O1905" s="19" t="n"/>
      <c r="P1905" s="19" t="n"/>
      <c r="Q1905" s="19" t="n"/>
      <c r="R1905" s="19" t="n"/>
      <c r="S1905" s="19" t="n"/>
    </row>
    <row r="1906">
      <c r="A1906" s="19" t="n"/>
      <c r="B1906" s="19" t="n"/>
      <c r="C1906" s="19" t="n"/>
      <c r="D1906" s="19" t="n"/>
      <c r="E1906" s="19" t="n"/>
      <c r="F1906" s="19" t="n"/>
      <c r="G1906" s="19" t="n"/>
      <c r="H1906" s="19" t="n"/>
      <c r="I1906" s="19" t="n"/>
      <c r="J1906" s="19" t="n"/>
      <c r="K1906" s="19" t="n"/>
      <c r="L1906" s="19" t="n"/>
      <c r="M1906" s="19" t="n"/>
      <c r="N1906" s="19" t="n"/>
      <c r="O1906" s="19" t="n"/>
      <c r="P1906" s="19" t="n"/>
      <c r="Q1906" s="19" t="n"/>
      <c r="R1906" s="19" t="n"/>
      <c r="S1906" s="19" t="n"/>
    </row>
    <row r="1907">
      <c r="A1907" s="19" t="n"/>
      <c r="B1907" s="19" t="n"/>
      <c r="C1907" s="19" t="n"/>
      <c r="D1907" s="19" t="n"/>
      <c r="E1907" s="19" t="n"/>
      <c r="F1907" s="19" t="n"/>
      <c r="G1907" s="19" t="n"/>
      <c r="H1907" s="19" t="n"/>
      <c r="I1907" s="19" t="n"/>
      <c r="J1907" s="19" t="n"/>
      <c r="K1907" s="19" t="n"/>
      <c r="L1907" s="19" t="n"/>
      <c r="M1907" s="19" t="n"/>
      <c r="N1907" s="19" t="n"/>
      <c r="O1907" s="19" t="n"/>
      <c r="P1907" s="19" t="n"/>
      <c r="Q1907" s="19" t="n"/>
      <c r="R1907" s="19" t="n"/>
      <c r="S1907" s="19" t="n"/>
    </row>
    <row r="1908">
      <c r="A1908" s="19" t="n"/>
      <c r="B1908" s="19" t="n"/>
      <c r="C1908" s="19" t="n"/>
      <c r="D1908" s="19" t="n"/>
      <c r="E1908" s="19" t="n"/>
      <c r="F1908" s="19" t="n"/>
      <c r="G1908" s="19" t="n"/>
      <c r="H1908" s="19" t="n"/>
      <c r="I1908" s="19" t="n"/>
      <c r="J1908" s="19" t="n"/>
      <c r="K1908" s="19" t="n"/>
      <c r="L1908" s="19" t="n"/>
      <c r="M1908" s="19" t="n"/>
      <c r="N1908" s="19" t="n"/>
      <c r="O1908" s="19" t="n"/>
      <c r="P1908" s="19" t="n"/>
      <c r="Q1908" s="19" t="n"/>
      <c r="R1908" s="19" t="n"/>
      <c r="S1908" s="19" t="n"/>
    </row>
    <row r="1909">
      <c r="A1909" s="19" t="n"/>
      <c r="B1909" s="19" t="n"/>
      <c r="C1909" s="19" t="n"/>
      <c r="D1909" s="19" t="n"/>
      <c r="E1909" s="19" t="n"/>
      <c r="F1909" s="19" t="n"/>
      <c r="G1909" s="19" t="n"/>
      <c r="H1909" s="19" t="n"/>
      <c r="I1909" s="19" t="n"/>
      <c r="J1909" s="19" t="n"/>
      <c r="K1909" s="19" t="n"/>
      <c r="L1909" s="19" t="n"/>
      <c r="M1909" s="19" t="n"/>
      <c r="N1909" s="19" t="n"/>
      <c r="O1909" s="19" t="n"/>
      <c r="P1909" s="19" t="n"/>
      <c r="Q1909" s="19" t="n"/>
      <c r="R1909" s="19" t="n"/>
      <c r="S1909" s="19" t="n"/>
    </row>
    <row r="1910">
      <c r="A1910" s="19" t="n"/>
      <c r="B1910" s="19" t="n"/>
      <c r="C1910" s="19" t="n"/>
      <c r="D1910" s="19" t="n"/>
      <c r="E1910" s="19" t="n"/>
      <c r="F1910" s="19" t="n"/>
      <c r="G1910" s="19" t="n"/>
      <c r="H1910" s="19" t="n"/>
      <c r="I1910" s="19" t="n"/>
      <c r="J1910" s="19" t="n"/>
      <c r="K1910" s="19" t="n"/>
      <c r="L1910" s="19" t="n"/>
      <c r="M1910" s="19" t="n"/>
      <c r="N1910" s="19" t="n"/>
      <c r="O1910" s="19" t="n"/>
      <c r="P1910" s="19" t="n"/>
      <c r="Q1910" s="19" t="n"/>
      <c r="R1910" s="19" t="n"/>
      <c r="S1910" s="19" t="n"/>
    </row>
    <row r="1911">
      <c r="A1911" s="19" t="n"/>
      <c r="B1911" s="19" t="n"/>
      <c r="C1911" s="19" t="n"/>
      <c r="D1911" s="19" t="n"/>
      <c r="E1911" s="19" t="n"/>
      <c r="F1911" s="19" t="n"/>
      <c r="G1911" s="19" t="n"/>
      <c r="H1911" s="19" t="n"/>
      <c r="I1911" s="19" t="n"/>
      <c r="J1911" s="19" t="n"/>
      <c r="K1911" s="19" t="n"/>
      <c r="L1911" s="19" t="n"/>
      <c r="M1911" s="19" t="n"/>
      <c r="N1911" s="19" t="n"/>
      <c r="O1911" s="19" t="n"/>
      <c r="P1911" s="19" t="n"/>
      <c r="Q1911" s="19" t="n"/>
      <c r="R1911" s="19" t="n"/>
      <c r="S1911" s="19" t="n"/>
    </row>
    <row r="1912">
      <c r="A1912" s="19" t="n"/>
      <c r="B1912" s="19" t="n"/>
      <c r="C1912" s="19" t="n"/>
      <c r="D1912" s="19" t="n"/>
      <c r="E1912" s="19" t="n"/>
      <c r="F1912" s="19" t="n"/>
      <c r="G1912" s="19" t="n"/>
      <c r="H1912" s="19" t="n"/>
      <c r="I1912" s="19" t="n"/>
      <c r="J1912" s="19" t="n"/>
      <c r="K1912" s="19" t="n"/>
      <c r="L1912" s="19" t="n"/>
      <c r="M1912" s="19" t="n"/>
      <c r="N1912" s="19" t="n"/>
      <c r="O1912" s="19" t="n"/>
      <c r="P1912" s="19" t="n"/>
      <c r="Q1912" s="19" t="n"/>
      <c r="R1912" s="19" t="n"/>
      <c r="S1912" s="19" t="n"/>
    </row>
    <row r="1913">
      <c r="A1913" s="19" t="n"/>
      <c r="B1913" s="19" t="n"/>
      <c r="C1913" s="19" t="n"/>
      <c r="D1913" s="19" t="n"/>
      <c r="E1913" s="19" t="n"/>
      <c r="F1913" s="19" t="n"/>
      <c r="G1913" s="19" t="n"/>
      <c r="H1913" s="19" t="n"/>
      <c r="I1913" s="19" t="n"/>
      <c r="J1913" s="19" t="n"/>
      <c r="K1913" s="19" t="n"/>
      <c r="L1913" s="19" t="n"/>
      <c r="M1913" s="19" t="n"/>
      <c r="N1913" s="19" t="n"/>
      <c r="O1913" s="19" t="n"/>
      <c r="P1913" s="19" t="n"/>
      <c r="Q1913" s="19" t="n"/>
      <c r="R1913" s="19" t="n"/>
      <c r="S1913" s="19" t="n"/>
    </row>
    <row r="1914">
      <c r="A1914" s="19" t="n"/>
      <c r="B1914" s="19" t="n"/>
      <c r="C1914" s="19" t="n"/>
      <c r="D1914" s="19" t="n"/>
      <c r="E1914" s="19" t="n"/>
      <c r="F1914" s="19" t="n"/>
      <c r="G1914" s="19" t="n"/>
      <c r="H1914" s="19" t="n"/>
      <c r="I1914" s="19" t="n"/>
      <c r="J1914" s="19" t="n"/>
      <c r="K1914" s="19" t="n"/>
      <c r="L1914" s="19" t="n"/>
      <c r="M1914" s="19" t="n"/>
      <c r="N1914" s="19" t="n"/>
      <c r="O1914" s="19" t="n"/>
      <c r="P1914" s="19" t="n"/>
      <c r="Q1914" s="19" t="n"/>
      <c r="R1914" s="19" t="n"/>
      <c r="S1914" s="19" t="n"/>
    </row>
    <row r="1915">
      <c r="A1915" s="19" t="n"/>
      <c r="B1915" s="19" t="n"/>
      <c r="C1915" s="19" t="n"/>
      <c r="D1915" s="19" t="n"/>
      <c r="E1915" s="19" t="n"/>
      <c r="F1915" s="19" t="n"/>
      <c r="G1915" s="19" t="n"/>
      <c r="H1915" s="19" t="n"/>
      <c r="I1915" s="19" t="n"/>
      <c r="J1915" s="19" t="n"/>
      <c r="K1915" s="19" t="n"/>
      <c r="L1915" s="19" t="n"/>
      <c r="M1915" s="19" t="n"/>
      <c r="N1915" s="19" t="n"/>
      <c r="O1915" s="19" t="n"/>
      <c r="P1915" s="19" t="n"/>
      <c r="Q1915" s="19" t="n"/>
      <c r="R1915" s="19" t="n"/>
      <c r="S1915" s="19" t="n"/>
    </row>
    <row r="1916">
      <c r="A1916" s="19" t="n"/>
      <c r="B1916" s="19" t="n"/>
      <c r="C1916" s="19" t="n"/>
      <c r="D1916" s="19" t="n"/>
      <c r="E1916" s="19" t="n"/>
      <c r="F1916" s="19" t="n"/>
      <c r="G1916" s="19" t="n"/>
      <c r="H1916" s="19" t="n"/>
      <c r="I1916" s="19" t="n"/>
      <c r="J1916" s="19" t="n"/>
      <c r="K1916" s="19" t="n"/>
      <c r="L1916" s="19" t="n"/>
      <c r="M1916" s="19" t="n"/>
      <c r="N1916" s="19" t="n"/>
      <c r="O1916" s="19" t="n"/>
      <c r="P1916" s="19" t="n"/>
      <c r="Q1916" s="19" t="n"/>
      <c r="R1916" s="19" t="n"/>
      <c r="S1916" s="19" t="n"/>
    </row>
    <row r="1917">
      <c r="A1917" s="19" t="n"/>
      <c r="B1917" s="19" t="n"/>
      <c r="C1917" s="19" t="n"/>
      <c r="D1917" s="19" t="n"/>
      <c r="E1917" s="19" t="n"/>
      <c r="F1917" s="19" t="n"/>
      <c r="G1917" s="19" t="n"/>
      <c r="H1917" s="19" t="n"/>
      <c r="I1917" s="19" t="n"/>
      <c r="J1917" s="19" t="n"/>
      <c r="K1917" s="19" t="n"/>
      <c r="L1917" s="19" t="n"/>
      <c r="M1917" s="19" t="n"/>
      <c r="N1917" s="19" t="n"/>
      <c r="O1917" s="19" t="n"/>
      <c r="P1917" s="19" t="n"/>
      <c r="Q1917" s="19" t="n"/>
      <c r="R1917" s="19" t="n"/>
      <c r="S1917" s="19" t="n"/>
    </row>
    <row r="1918">
      <c r="A1918" s="19" t="n"/>
      <c r="B1918" s="19" t="n"/>
      <c r="C1918" s="19" t="n"/>
      <c r="D1918" s="19" t="n"/>
      <c r="E1918" s="19" t="n"/>
      <c r="F1918" s="19" t="n"/>
      <c r="G1918" s="19" t="n"/>
      <c r="H1918" s="19" t="n"/>
      <c r="I1918" s="19" t="n"/>
      <c r="J1918" s="19" t="n"/>
      <c r="K1918" s="19" t="n"/>
      <c r="L1918" s="19" t="n"/>
      <c r="M1918" s="19" t="n"/>
      <c r="N1918" s="19" t="n"/>
      <c r="O1918" s="19" t="n"/>
      <c r="P1918" s="19" t="n"/>
      <c r="Q1918" s="19" t="n"/>
      <c r="R1918" s="19" t="n"/>
      <c r="S1918" s="19" t="n"/>
    </row>
    <row r="1919">
      <c r="A1919" s="19" t="n"/>
      <c r="B1919" s="19" t="n"/>
      <c r="C1919" s="19" t="n"/>
      <c r="D1919" s="19" t="n"/>
      <c r="E1919" s="19" t="n"/>
      <c r="F1919" s="19" t="n"/>
      <c r="G1919" s="19" t="n"/>
      <c r="H1919" s="19" t="n"/>
      <c r="I1919" s="19" t="n"/>
      <c r="J1919" s="19" t="n"/>
      <c r="K1919" s="19" t="n"/>
      <c r="L1919" s="19" t="n"/>
      <c r="M1919" s="19" t="n"/>
      <c r="N1919" s="19" t="n"/>
      <c r="O1919" s="19" t="n"/>
      <c r="P1919" s="19" t="n"/>
      <c r="Q1919" s="19" t="n"/>
      <c r="R1919" s="19" t="n"/>
      <c r="S1919" s="19" t="n"/>
    </row>
    <row r="1920">
      <c r="A1920" s="19" t="n"/>
      <c r="B1920" s="19" t="n"/>
      <c r="C1920" s="19" t="n"/>
      <c r="D1920" s="19" t="n"/>
      <c r="E1920" s="19" t="n"/>
      <c r="F1920" s="19" t="n"/>
      <c r="G1920" s="19" t="n"/>
      <c r="H1920" s="19" t="n"/>
      <c r="I1920" s="19" t="n"/>
      <c r="J1920" s="19" t="n"/>
      <c r="K1920" s="19" t="n"/>
      <c r="L1920" s="19" t="n"/>
      <c r="M1920" s="19" t="n"/>
      <c r="N1920" s="19" t="n"/>
      <c r="O1920" s="19" t="n"/>
      <c r="P1920" s="19" t="n"/>
      <c r="Q1920" s="19" t="n"/>
      <c r="R1920" s="19" t="n"/>
      <c r="S1920" s="19" t="n"/>
    </row>
    <row r="1921">
      <c r="A1921" s="19" t="n"/>
      <c r="B1921" s="19" t="n"/>
      <c r="C1921" s="19" t="n"/>
      <c r="D1921" s="19" t="n"/>
      <c r="E1921" s="19" t="n"/>
      <c r="F1921" s="19" t="n"/>
      <c r="G1921" s="19" t="n"/>
      <c r="H1921" s="19" t="n"/>
      <c r="I1921" s="19" t="n"/>
      <c r="J1921" s="19" t="n"/>
      <c r="K1921" s="19" t="n"/>
      <c r="L1921" s="19" t="n"/>
      <c r="M1921" s="19" t="n"/>
      <c r="N1921" s="19" t="n"/>
      <c r="O1921" s="19" t="n"/>
      <c r="P1921" s="19" t="n"/>
      <c r="Q1921" s="19" t="n"/>
      <c r="R1921" s="19" t="n"/>
      <c r="S1921" s="19" t="n"/>
    </row>
    <row r="1922">
      <c r="A1922" s="19" t="n"/>
      <c r="B1922" s="19" t="n"/>
      <c r="C1922" s="19" t="n"/>
      <c r="D1922" s="19" t="n"/>
      <c r="E1922" s="19" t="n"/>
      <c r="F1922" s="19" t="n"/>
      <c r="G1922" s="19" t="n"/>
      <c r="H1922" s="19" t="n"/>
      <c r="I1922" s="19" t="n"/>
      <c r="J1922" s="19" t="n"/>
      <c r="K1922" s="19" t="n"/>
      <c r="L1922" s="19" t="n"/>
      <c r="M1922" s="19" t="n"/>
      <c r="N1922" s="19" t="n"/>
      <c r="O1922" s="19" t="n"/>
      <c r="P1922" s="19" t="n"/>
      <c r="Q1922" s="19" t="n"/>
      <c r="R1922" s="19" t="n"/>
      <c r="S1922" s="19" t="n"/>
    </row>
    <row r="1923">
      <c r="A1923" s="19" t="n"/>
      <c r="B1923" s="19" t="n"/>
      <c r="C1923" s="19" t="n"/>
      <c r="D1923" s="19" t="n"/>
      <c r="E1923" s="19" t="n"/>
      <c r="F1923" s="19" t="n"/>
      <c r="G1923" s="19" t="n"/>
      <c r="H1923" s="19" t="n"/>
      <c r="I1923" s="19" t="n"/>
      <c r="J1923" s="19" t="n"/>
      <c r="K1923" s="19" t="n"/>
      <c r="L1923" s="19" t="n"/>
      <c r="M1923" s="19" t="n"/>
      <c r="N1923" s="19" t="n"/>
      <c r="O1923" s="19" t="n"/>
      <c r="P1923" s="19" t="n"/>
      <c r="Q1923" s="19" t="n"/>
      <c r="R1923" s="19" t="n"/>
      <c r="S1923" s="19" t="n"/>
    </row>
    <row r="1924">
      <c r="A1924" s="19" t="n"/>
      <c r="B1924" s="19" t="n"/>
      <c r="C1924" s="19" t="n"/>
      <c r="D1924" s="19" t="n"/>
      <c r="E1924" s="19" t="n"/>
      <c r="F1924" s="19" t="n"/>
      <c r="G1924" s="19" t="n"/>
      <c r="H1924" s="19" t="n"/>
      <c r="I1924" s="19" t="n"/>
      <c r="J1924" s="19" t="n"/>
      <c r="K1924" s="19" t="n"/>
      <c r="L1924" s="19" t="n"/>
      <c r="M1924" s="19" t="n"/>
      <c r="N1924" s="19" t="n"/>
      <c r="O1924" s="19" t="n"/>
      <c r="P1924" s="19" t="n"/>
      <c r="Q1924" s="19" t="n"/>
      <c r="R1924" s="19" t="n"/>
      <c r="S1924" s="19" t="n"/>
    </row>
    <row r="1925">
      <c r="A1925" s="19" t="n"/>
      <c r="B1925" s="19" t="n"/>
      <c r="C1925" s="19" t="n"/>
      <c r="D1925" s="19" t="n"/>
      <c r="E1925" s="19" t="n"/>
      <c r="F1925" s="19" t="n"/>
      <c r="G1925" s="19" t="n"/>
      <c r="H1925" s="19" t="n"/>
      <c r="I1925" s="19" t="n"/>
      <c r="J1925" s="19" t="n"/>
      <c r="K1925" s="19" t="n"/>
      <c r="L1925" s="19" t="n"/>
      <c r="M1925" s="19" t="n"/>
      <c r="N1925" s="19" t="n"/>
      <c r="O1925" s="19" t="n"/>
      <c r="P1925" s="19" t="n"/>
      <c r="Q1925" s="19" t="n"/>
      <c r="R1925" s="19" t="n"/>
      <c r="S1925" s="19" t="n"/>
    </row>
    <row r="1926">
      <c r="A1926" s="19" t="n"/>
      <c r="B1926" s="19" t="n"/>
      <c r="C1926" s="19" t="n"/>
      <c r="D1926" s="19" t="n"/>
      <c r="E1926" s="19" t="n"/>
      <c r="F1926" s="19" t="n"/>
      <c r="G1926" s="19" t="n"/>
      <c r="H1926" s="19" t="n"/>
      <c r="I1926" s="19" t="n"/>
      <c r="J1926" s="19" t="n"/>
      <c r="K1926" s="19" t="n"/>
      <c r="L1926" s="19" t="n"/>
      <c r="M1926" s="19" t="n"/>
      <c r="N1926" s="19" t="n"/>
      <c r="O1926" s="19" t="n"/>
      <c r="P1926" s="19" t="n"/>
      <c r="Q1926" s="19" t="n"/>
      <c r="R1926" s="19" t="n"/>
      <c r="S1926" s="19" t="n"/>
    </row>
    <row r="1927">
      <c r="A1927" s="19" t="n"/>
      <c r="B1927" s="19" t="n"/>
      <c r="C1927" s="19" t="n"/>
      <c r="D1927" s="19" t="n"/>
      <c r="E1927" s="19" t="n"/>
      <c r="F1927" s="19" t="n"/>
      <c r="G1927" s="19" t="n"/>
      <c r="H1927" s="19" t="n"/>
      <c r="I1927" s="19" t="n"/>
      <c r="J1927" s="19" t="n"/>
      <c r="K1927" s="19" t="n"/>
      <c r="L1927" s="19" t="n"/>
      <c r="M1927" s="19" t="n"/>
      <c r="N1927" s="19" t="n"/>
      <c r="O1927" s="19" t="n"/>
      <c r="P1927" s="19" t="n"/>
      <c r="Q1927" s="19" t="n"/>
      <c r="R1927" s="19" t="n"/>
      <c r="S1927" s="19" t="n"/>
    </row>
    <row r="1928">
      <c r="A1928" s="19" t="n"/>
      <c r="B1928" s="19" t="n"/>
      <c r="C1928" s="19" t="n"/>
      <c r="D1928" s="19" t="n"/>
      <c r="E1928" s="19" t="n"/>
      <c r="F1928" s="19" t="n"/>
      <c r="G1928" s="19" t="n"/>
      <c r="H1928" s="19" t="n"/>
      <c r="I1928" s="19" t="n"/>
      <c r="J1928" s="19" t="n"/>
      <c r="K1928" s="19" t="n"/>
      <c r="L1928" s="19" t="n"/>
      <c r="M1928" s="19" t="n"/>
      <c r="N1928" s="19" t="n"/>
      <c r="O1928" s="19" t="n"/>
      <c r="P1928" s="19" t="n"/>
      <c r="Q1928" s="19" t="n"/>
      <c r="R1928" s="19" t="n"/>
      <c r="S1928" s="19" t="n"/>
    </row>
    <row r="1929">
      <c r="A1929" s="19" t="n"/>
      <c r="B1929" s="19" t="n"/>
      <c r="C1929" s="19" t="n"/>
      <c r="D1929" s="19" t="n"/>
      <c r="E1929" s="19" t="n"/>
      <c r="F1929" s="19" t="n"/>
      <c r="G1929" s="19" t="n"/>
      <c r="H1929" s="19" t="n"/>
      <c r="I1929" s="19" t="n"/>
      <c r="J1929" s="19" t="n"/>
      <c r="K1929" s="19" t="n"/>
      <c r="L1929" s="19" t="n"/>
      <c r="M1929" s="19" t="n"/>
      <c r="N1929" s="19" t="n"/>
      <c r="O1929" s="19" t="n"/>
      <c r="P1929" s="19" t="n"/>
      <c r="Q1929" s="19" t="n"/>
      <c r="R1929" s="19" t="n"/>
      <c r="S1929" s="19" t="n"/>
    </row>
    <row r="1930">
      <c r="A1930" s="19" t="n"/>
      <c r="B1930" s="19" t="n"/>
      <c r="C1930" s="19" t="n"/>
      <c r="D1930" s="19" t="n"/>
      <c r="E1930" s="19" t="n"/>
      <c r="F1930" s="19" t="n"/>
      <c r="G1930" s="19" t="n"/>
      <c r="H1930" s="19" t="n"/>
      <c r="I1930" s="19" t="n"/>
      <c r="J1930" s="19" t="n"/>
      <c r="K1930" s="19" t="n"/>
      <c r="L1930" s="19" t="n"/>
      <c r="M1930" s="19" t="n"/>
      <c r="N1930" s="19" t="n"/>
      <c r="O1930" s="19" t="n"/>
      <c r="P1930" s="19" t="n"/>
      <c r="Q1930" s="19" t="n"/>
      <c r="R1930" s="19" t="n"/>
      <c r="S1930" s="19" t="n"/>
    </row>
    <row r="1931">
      <c r="A1931" s="19" t="n"/>
      <c r="B1931" s="19" t="n"/>
      <c r="C1931" s="19" t="n"/>
      <c r="D1931" s="19" t="n"/>
      <c r="E1931" s="19" t="n"/>
      <c r="F1931" s="19" t="n"/>
      <c r="G1931" s="19" t="n"/>
      <c r="H1931" s="19" t="n"/>
      <c r="I1931" s="19" t="n"/>
      <c r="J1931" s="19" t="n"/>
      <c r="K1931" s="19" t="n"/>
      <c r="L1931" s="19" t="n"/>
      <c r="M1931" s="19" t="n"/>
      <c r="N1931" s="19" t="n"/>
      <c r="O1931" s="19" t="n"/>
      <c r="P1931" s="19" t="n"/>
      <c r="Q1931" s="19" t="n"/>
      <c r="R1931" s="19" t="n"/>
      <c r="S1931" s="19" t="n"/>
    </row>
    <row r="1932">
      <c r="A1932" s="19" t="n"/>
      <c r="B1932" s="19" t="n"/>
      <c r="C1932" s="19" t="n"/>
      <c r="D1932" s="19" t="n"/>
      <c r="E1932" s="19" t="n"/>
      <c r="F1932" s="19" t="n"/>
      <c r="G1932" s="19" t="n"/>
      <c r="H1932" s="19" t="n"/>
      <c r="I1932" s="19" t="n"/>
      <c r="J1932" s="19" t="n"/>
      <c r="K1932" s="19" t="n"/>
      <c r="L1932" s="19" t="n"/>
      <c r="M1932" s="19" t="n"/>
      <c r="N1932" s="19" t="n"/>
      <c r="O1932" s="19" t="n"/>
      <c r="P1932" s="19" t="n"/>
      <c r="Q1932" s="19" t="n"/>
      <c r="R1932" s="19" t="n"/>
      <c r="S1932" s="19" t="n"/>
    </row>
    <row r="1933">
      <c r="A1933" s="19" t="n"/>
      <c r="B1933" s="19" t="n"/>
      <c r="C1933" s="19" t="n"/>
      <c r="D1933" s="19" t="n"/>
      <c r="E1933" s="19" t="n"/>
      <c r="F1933" s="19" t="n"/>
      <c r="G1933" s="19" t="n"/>
      <c r="H1933" s="19" t="n"/>
      <c r="I1933" s="19" t="n"/>
      <c r="J1933" s="19" t="n"/>
      <c r="K1933" s="19" t="n"/>
      <c r="L1933" s="19" t="n"/>
      <c r="M1933" s="19" t="n"/>
      <c r="N1933" s="19" t="n"/>
      <c r="O1933" s="19" t="n"/>
      <c r="P1933" s="19" t="n"/>
      <c r="Q1933" s="19" t="n"/>
      <c r="R1933" s="19" t="n"/>
      <c r="S1933" s="19" t="n"/>
    </row>
    <row r="1934">
      <c r="A1934" s="19" t="n"/>
      <c r="B1934" s="19" t="n"/>
      <c r="C1934" s="19" t="n"/>
      <c r="D1934" s="19" t="n"/>
      <c r="E1934" s="19" t="n"/>
      <c r="F1934" s="19" t="n"/>
      <c r="G1934" s="19" t="n"/>
      <c r="H1934" s="19" t="n"/>
      <c r="I1934" s="19" t="n"/>
      <c r="J1934" s="19" t="n"/>
      <c r="K1934" s="19" t="n"/>
      <c r="L1934" s="19" t="n"/>
      <c r="M1934" s="19" t="n"/>
      <c r="N1934" s="19" t="n"/>
      <c r="O1934" s="19" t="n"/>
      <c r="P1934" s="19" t="n"/>
      <c r="Q1934" s="19" t="n"/>
      <c r="R1934" s="19" t="n"/>
      <c r="S1934" s="19" t="n"/>
    </row>
    <row r="1935">
      <c r="A1935" s="19" t="n"/>
      <c r="B1935" s="19" t="n"/>
      <c r="C1935" s="19" t="n"/>
      <c r="D1935" s="19" t="n"/>
      <c r="E1935" s="19" t="n"/>
      <c r="F1935" s="19" t="n"/>
      <c r="G1935" s="19" t="n"/>
      <c r="H1935" s="19" t="n"/>
      <c r="I1935" s="19" t="n"/>
      <c r="J1935" s="19" t="n"/>
      <c r="K1935" s="19" t="n"/>
      <c r="L1935" s="19" t="n"/>
      <c r="M1935" s="19" t="n"/>
      <c r="N1935" s="19" t="n"/>
      <c r="O1935" s="19" t="n"/>
      <c r="P1935" s="19" t="n"/>
      <c r="Q1935" s="19" t="n"/>
      <c r="R1935" s="19" t="n"/>
      <c r="S1935" s="19" t="n"/>
    </row>
    <row r="1936">
      <c r="A1936" s="19" t="n"/>
      <c r="B1936" s="19" t="n"/>
      <c r="C1936" s="19" t="n"/>
      <c r="D1936" s="19" t="n"/>
      <c r="E1936" s="19" t="n"/>
      <c r="F1936" s="19" t="n"/>
      <c r="G1936" s="19" t="n"/>
      <c r="H1936" s="19" t="n"/>
      <c r="I1936" s="19" t="n"/>
      <c r="J1936" s="19" t="n"/>
      <c r="K1936" s="19" t="n"/>
      <c r="L1936" s="19" t="n"/>
      <c r="M1936" s="19" t="n"/>
      <c r="N1936" s="19" t="n"/>
      <c r="O1936" s="19" t="n"/>
      <c r="P1936" s="19" t="n"/>
      <c r="Q1936" s="19" t="n"/>
      <c r="R1936" s="19" t="n"/>
      <c r="S1936" s="19" t="n"/>
    </row>
    <row r="1937">
      <c r="A1937" s="19" t="n"/>
      <c r="B1937" s="19" t="n"/>
      <c r="C1937" s="19" t="n"/>
      <c r="D1937" s="19" t="n"/>
      <c r="E1937" s="19" t="n"/>
      <c r="F1937" s="19" t="n"/>
      <c r="G1937" s="19" t="n"/>
      <c r="H1937" s="19" t="n"/>
      <c r="I1937" s="19" t="n"/>
      <c r="J1937" s="19" t="n"/>
      <c r="K1937" s="19" t="n"/>
      <c r="L1937" s="19" t="n"/>
      <c r="M1937" s="19" t="n"/>
      <c r="N1937" s="19" t="n"/>
      <c r="O1937" s="19" t="n"/>
      <c r="P1937" s="19" t="n"/>
      <c r="Q1937" s="19" t="n"/>
      <c r="R1937" s="19" t="n"/>
      <c r="S1937" s="19" t="n"/>
    </row>
    <row r="1938">
      <c r="A1938" s="19" t="n"/>
      <c r="B1938" s="19" t="n"/>
      <c r="C1938" s="19" t="n"/>
      <c r="D1938" s="19" t="n"/>
      <c r="E1938" s="19" t="n"/>
      <c r="F1938" s="19" t="n"/>
      <c r="G1938" s="19" t="n"/>
      <c r="H1938" s="19" t="n"/>
      <c r="I1938" s="19" t="n"/>
      <c r="J1938" s="19" t="n"/>
      <c r="K1938" s="19" t="n"/>
      <c r="L1938" s="19" t="n"/>
      <c r="M1938" s="19" t="n"/>
      <c r="N1938" s="19" t="n"/>
      <c r="O1938" s="19" t="n"/>
      <c r="P1938" s="19" t="n"/>
      <c r="Q1938" s="19" t="n"/>
      <c r="R1938" s="19" t="n"/>
      <c r="S1938" s="19" t="n"/>
    </row>
    <row r="1939">
      <c r="A1939" s="19" t="n"/>
      <c r="B1939" s="19" t="n"/>
      <c r="C1939" s="19" t="n"/>
      <c r="D1939" s="19" t="n"/>
      <c r="E1939" s="19" t="n"/>
      <c r="F1939" s="19" t="n"/>
      <c r="G1939" s="19" t="n"/>
      <c r="H1939" s="19" t="n"/>
      <c r="I1939" s="19" t="n"/>
      <c r="J1939" s="19" t="n"/>
      <c r="K1939" s="19" t="n"/>
      <c r="L1939" s="19" t="n"/>
      <c r="M1939" s="19" t="n"/>
      <c r="N1939" s="19" t="n"/>
      <c r="O1939" s="19" t="n"/>
      <c r="P1939" s="19" t="n"/>
      <c r="Q1939" s="19" t="n"/>
      <c r="R1939" s="19" t="n"/>
      <c r="S1939" s="19" t="n"/>
    </row>
    <row r="1940">
      <c r="A1940" s="19" t="n"/>
      <c r="B1940" s="19" t="n"/>
      <c r="C1940" s="19" t="n"/>
      <c r="D1940" s="19" t="n"/>
      <c r="E1940" s="19" t="n"/>
      <c r="F1940" s="19" t="n"/>
      <c r="G1940" s="19" t="n"/>
      <c r="H1940" s="19" t="n"/>
      <c r="I1940" s="19" t="n"/>
      <c r="J1940" s="19" t="n"/>
      <c r="K1940" s="19" t="n"/>
      <c r="L1940" s="19" t="n"/>
      <c r="M1940" s="19" t="n"/>
      <c r="N1940" s="19" t="n"/>
      <c r="O1940" s="19" t="n"/>
      <c r="P1940" s="19" t="n"/>
      <c r="Q1940" s="19" t="n"/>
      <c r="R1940" s="19" t="n"/>
      <c r="S1940" s="19" t="n"/>
    </row>
    <row r="1941">
      <c r="A1941" s="19" t="n"/>
      <c r="B1941" s="19" t="n"/>
      <c r="C1941" s="19" t="n"/>
      <c r="D1941" s="19" t="n"/>
      <c r="E1941" s="19" t="n"/>
      <c r="F1941" s="19" t="n"/>
      <c r="G1941" s="19" t="n"/>
      <c r="H1941" s="19" t="n"/>
      <c r="I1941" s="19" t="n"/>
      <c r="J1941" s="19" t="n"/>
      <c r="K1941" s="19" t="n"/>
      <c r="L1941" s="19" t="n"/>
      <c r="M1941" s="19" t="n"/>
      <c r="N1941" s="19" t="n"/>
      <c r="O1941" s="19" t="n"/>
      <c r="P1941" s="19" t="n"/>
      <c r="Q1941" s="19" t="n"/>
      <c r="R1941" s="19" t="n"/>
      <c r="S1941" s="19" t="n"/>
    </row>
    <row r="1942">
      <c r="A1942" s="19" t="n"/>
      <c r="B1942" s="19" t="n"/>
      <c r="C1942" s="19" t="n"/>
      <c r="D1942" s="19" t="n"/>
      <c r="E1942" s="19" t="n"/>
      <c r="F1942" s="19" t="n"/>
      <c r="G1942" s="19" t="n"/>
      <c r="H1942" s="19" t="n"/>
      <c r="I1942" s="19" t="n"/>
      <c r="J1942" s="19" t="n"/>
      <c r="K1942" s="19" t="n"/>
      <c r="L1942" s="19" t="n"/>
      <c r="M1942" s="19" t="n"/>
      <c r="N1942" s="19" t="n"/>
      <c r="O1942" s="19" t="n"/>
      <c r="P1942" s="19" t="n"/>
      <c r="Q1942" s="19" t="n"/>
      <c r="R1942" s="19" t="n"/>
      <c r="S1942" s="19" t="n"/>
    </row>
    <row r="1943">
      <c r="A1943" s="19" t="n"/>
      <c r="B1943" s="19" t="n"/>
      <c r="C1943" s="19" t="n"/>
      <c r="D1943" s="19" t="n"/>
      <c r="E1943" s="19" t="n"/>
      <c r="F1943" s="19" t="n"/>
      <c r="G1943" s="19" t="n"/>
      <c r="H1943" s="19" t="n"/>
      <c r="I1943" s="19" t="n"/>
      <c r="J1943" s="19" t="n"/>
      <c r="K1943" s="19" t="n"/>
      <c r="L1943" s="19" t="n"/>
      <c r="M1943" s="19" t="n"/>
      <c r="N1943" s="19" t="n"/>
      <c r="O1943" s="19" t="n"/>
      <c r="P1943" s="19" t="n"/>
      <c r="Q1943" s="19" t="n"/>
      <c r="R1943" s="19" t="n"/>
      <c r="S1943" s="19" t="n"/>
    </row>
    <row r="1944">
      <c r="A1944" s="19" t="n"/>
      <c r="B1944" s="19" t="n"/>
      <c r="C1944" s="19" t="n"/>
      <c r="D1944" s="19" t="n"/>
      <c r="E1944" s="19" t="n"/>
      <c r="F1944" s="19" t="n"/>
      <c r="G1944" s="19" t="n"/>
      <c r="H1944" s="19" t="n"/>
      <c r="I1944" s="19" t="n"/>
      <c r="J1944" s="19" t="n"/>
      <c r="K1944" s="19" t="n"/>
      <c r="L1944" s="19" t="n"/>
      <c r="M1944" s="19" t="n"/>
      <c r="N1944" s="19" t="n"/>
      <c r="O1944" s="19" t="n"/>
      <c r="P1944" s="19" t="n"/>
      <c r="Q1944" s="19" t="n"/>
      <c r="R1944" s="19" t="n"/>
      <c r="S1944" s="19" t="n"/>
    </row>
    <row r="1945">
      <c r="A1945" s="19" t="n"/>
      <c r="B1945" s="19" t="n"/>
      <c r="C1945" s="19" t="n"/>
      <c r="D1945" s="19" t="n"/>
      <c r="E1945" s="19" t="n"/>
      <c r="F1945" s="19" t="n"/>
      <c r="G1945" s="19" t="n"/>
      <c r="H1945" s="19" t="n"/>
      <c r="I1945" s="19" t="n"/>
      <c r="J1945" s="19" t="n"/>
      <c r="K1945" s="19" t="n"/>
      <c r="L1945" s="19" t="n"/>
      <c r="M1945" s="19" t="n"/>
      <c r="N1945" s="19" t="n"/>
      <c r="O1945" s="19" t="n"/>
      <c r="P1945" s="19" t="n"/>
      <c r="Q1945" s="19" t="n"/>
      <c r="R1945" s="19" t="n"/>
      <c r="S1945" s="19" t="n"/>
    </row>
    <row r="1946">
      <c r="A1946" s="19" t="n"/>
      <c r="B1946" s="19" t="n"/>
      <c r="C1946" s="19" t="n"/>
      <c r="D1946" s="19" t="n"/>
      <c r="E1946" s="19" t="n"/>
      <c r="F1946" s="19" t="n"/>
      <c r="G1946" s="19" t="n"/>
      <c r="H1946" s="19" t="n"/>
      <c r="I1946" s="19" t="n"/>
      <c r="J1946" s="19" t="n"/>
      <c r="K1946" s="19" t="n"/>
      <c r="L1946" s="19" t="n"/>
      <c r="M1946" s="19" t="n"/>
      <c r="N1946" s="19" t="n"/>
      <c r="O1946" s="19" t="n"/>
      <c r="P1946" s="19" t="n"/>
      <c r="Q1946" s="19" t="n"/>
      <c r="R1946" s="19" t="n"/>
      <c r="S1946" s="19" t="n"/>
    </row>
    <row r="1947">
      <c r="A1947" s="19" t="n"/>
      <c r="B1947" s="19" t="n"/>
      <c r="C1947" s="19" t="n"/>
      <c r="D1947" s="19" t="n"/>
      <c r="E1947" s="19" t="n"/>
      <c r="F1947" s="19" t="n"/>
      <c r="G1947" s="19" t="n"/>
      <c r="H1947" s="19" t="n"/>
      <c r="I1947" s="19" t="n"/>
      <c r="J1947" s="19" t="n"/>
      <c r="K1947" s="19" t="n"/>
      <c r="L1947" s="19" t="n"/>
      <c r="M1947" s="19" t="n"/>
      <c r="N1947" s="19" t="n"/>
      <c r="O1947" s="19" t="n"/>
      <c r="P1947" s="19" t="n"/>
      <c r="Q1947" s="19" t="n"/>
      <c r="R1947" s="19" t="n"/>
      <c r="S1947" s="19" t="n"/>
    </row>
    <row r="1948">
      <c r="A1948" s="19" t="n"/>
      <c r="B1948" s="19" t="n"/>
      <c r="C1948" s="19" t="n"/>
      <c r="D1948" s="19" t="n"/>
      <c r="E1948" s="19" t="n"/>
      <c r="F1948" s="19" t="n"/>
      <c r="G1948" s="19" t="n"/>
      <c r="H1948" s="19" t="n"/>
      <c r="I1948" s="19" t="n"/>
      <c r="J1948" s="19" t="n"/>
      <c r="K1948" s="19" t="n"/>
      <c r="L1948" s="19" t="n"/>
      <c r="M1948" s="19" t="n"/>
      <c r="N1948" s="19" t="n"/>
      <c r="O1948" s="19" t="n"/>
      <c r="P1948" s="19" t="n"/>
      <c r="Q1948" s="19" t="n"/>
      <c r="R1948" s="19" t="n"/>
      <c r="S1948" s="19" t="n"/>
    </row>
    <row r="1949">
      <c r="A1949" s="19" t="n"/>
      <c r="B1949" s="19" t="n"/>
      <c r="C1949" s="19" t="n"/>
      <c r="D1949" s="19" t="n"/>
      <c r="E1949" s="19" t="n"/>
      <c r="F1949" s="19" t="n"/>
      <c r="G1949" s="19" t="n"/>
      <c r="H1949" s="19" t="n"/>
      <c r="I1949" s="19" t="n"/>
      <c r="J1949" s="19" t="n"/>
      <c r="K1949" s="19" t="n"/>
      <c r="L1949" s="19" t="n"/>
      <c r="M1949" s="19" t="n"/>
      <c r="N1949" s="19" t="n"/>
      <c r="O1949" s="19" t="n"/>
      <c r="P1949" s="19" t="n"/>
      <c r="Q1949" s="19" t="n"/>
      <c r="R1949" s="19" t="n"/>
      <c r="S1949" s="19" t="n"/>
    </row>
    <row r="1950">
      <c r="A1950" s="19" t="n"/>
      <c r="B1950" s="19" t="n"/>
      <c r="C1950" s="19" t="n"/>
      <c r="D1950" s="19" t="n"/>
      <c r="E1950" s="19" t="n"/>
      <c r="F1950" s="19" t="n"/>
      <c r="G1950" s="19" t="n"/>
      <c r="H1950" s="19" t="n"/>
      <c r="I1950" s="19" t="n"/>
      <c r="J1950" s="19" t="n"/>
      <c r="K1950" s="19" t="n"/>
      <c r="L1950" s="19" t="n"/>
      <c r="M1950" s="19" t="n"/>
      <c r="N1950" s="19" t="n"/>
      <c r="O1950" s="19" t="n"/>
      <c r="P1950" s="19" t="n"/>
      <c r="Q1950" s="19" t="n"/>
      <c r="R1950" s="19" t="n"/>
      <c r="S1950" s="19" t="n"/>
    </row>
    <row r="1951">
      <c r="A1951" s="19" t="n"/>
      <c r="B1951" s="19" t="n"/>
      <c r="C1951" s="19" t="n"/>
      <c r="D1951" s="19" t="n"/>
      <c r="E1951" s="19" t="n"/>
      <c r="F1951" s="19" t="n"/>
      <c r="G1951" s="19" t="n"/>
      <c r="H1951" s="19" t="n"/>
      <c r="I1951" s="19" t="n"/>
      <c r="J1951" s="19" t="n"/>
      <c r="K1951" s="19" t="n"/>
      <c r="L1951" s="19" t="n"/>
      <c r="M1951" s="19" t="n"/>
      <c r="N1951" s="19" t="n"/>
      <c r="O1951" s="19" t="n"/>
      <c r="P1951" s="19" t="n"/>
      <c r="Q1951" s="19" t="n"/>
      <c r="R1951" s="19" t="n"/>
      <c r="S1951" s="19" t="n"/>
    </row>
    <row r="1952">
      <c r="A1952" s="19" t="n"/>
      <c r="B1952" s="19" t="n"/>
      <c r="C1952" s="19" t="n"/>
      <c r="D1952" s="19" t="n"/>
      <c r="E1952" s="19" t="n"/>
      <c r="F1952" s="19" t="n"/>
      <c r="G1952" s="19" t="n"/>
      <c r="H1952" s="19" t="n"/>
      <c r="I1952" s="19" t="n"/>
      <c r="J1952" s="19" t="n"/>
      <c r="K1952" s="19" t="n"/>
      <c r="L1952" s="19" t="n"/>
      <c r="M1952" s="19" t="n"/>
      <c r="N1952" s="19" t="n"/>
      <c r="O1952" s="19" t="n"/>
      <c r="P1952" s="19" t="n"/>
      <c r="Q1952" s="19" t="n"/>
      <c r="R1952" s="19" t="n"/>
      <c r="S1952" s="19" t="n"/>
    </row>
    <row r="1953">
      <c r="A1953" s="19" t="n"/>
      <c r="B1953" s="19" t="n"/>
      <c r="C1953" s="19" t="n"/>
      <c r="D1953" s="19" t="n"/>
      <c r="E1953" s="19" t="n"/>
      <c r="F1953" s="19" t="n"/>
      <c r="G1953" s="19" t="n"/>
      <c r="H1953" s="19" t="n"/>
      <c r="I1953" s="19" t="n"/>
      <c r="J1953" s="19" t="n"/>
      <c r="K1953" s="19" t="n"/>
      <c r="L1953" s="19" t="n"/>
      <c r="M1953" s="19" t="n"/>
      <c r="N1953" s="19" t="n"/>
      <c r="O1953" s="19" t="n"/>
      <c r="P1953" s="19" t="n"/>
      <c r="Q1953" s="19" t="n"/>
      <c r="R1953" s="19" t="n"/>
      <c r="S1953" s="19" t="n"/>
    </row>
    <row r="1954">
      <c r="A1954" s="19" t="n"/>
      <c r="B1954" s="19" t="n"/>
      <c r="C1954" s="19" t="n"/>
      <c r="D1954" s="19" t="n"/>
      <c r="E1954" s="19" t="n"/>
      <c r="F1954" s="19" t="n"/>
      <c r="G1954" s="19" t="n"/>
      <c r="H1954" s="19" t="n"/>
      <c r="I1954" s="19" t="n"/>
      <c r="J1954" s="19" t="n"/>
      <c r="K1954" s="19" t="n"/>
      <c r="L1954" s="19" t="n"/>
      <c r="M1954" s="19" t="n"/>
      <c r="N1954" s="19" t="n"/>
      <c r="O1954" s="19" t="n"/>
      <c r="P1954" s="19" t="n"/>
      <c r="Q1954" s="19" t="n"/>
      <c r="R1954" s="19" t="n"/>
      <c r="S1954" s="19" t="n"/>
    </row>
    <row r="1955">
      <c r="A1955" s="19" t="n"/>
      <c r="B1955" s="19" t="n"/>
      <c r="C1955" s="19" t="n"/>
      <c r="D1955" s="19" t="n"/>
      <c r="E1955" s="19" t="n"/>
      <c r="F1955" s="19" t="n"/>
      <c r="G1955" s="19" t="n"/>
      <c r="H1955" s="19" t="n"/>
      <c r="I1955" s="19" t="n"/>
      <c r="J1955" s="19" t="n"/>
      <c r="K1955" s="19" t="n"/>
      <c r="L1955" s="19" t="n"/>
      <c r="M1955" s="19" t="n"/>
      <c r="N1955" s="19" t="n"/>
      <c r="O1955" s="19" t="n"/>
      <c r="P1955" s="19" t="n"/>
      <c r="Q1955" s="19" t="n"/>
      <c r="R1955" s="19" t="n"/>
      <c r="S1955" s="19" t="n"/>
    </row>
    <row r="1956">
      <c r="A1956" s="19" t="n"/>
      <c r="B1956" s="19" t="n"/>
      <c r="C1956" s="19" t="n"/>
      <c r="D1956" s="19" t="n"/>
      <c r="E1956" s="19" t="n"/>
      <c r="F1956" s="19" t="n"/>
      <c r="G1956" s="19" t="n"/>
      <c r="H1956" s="19" t="n"/>
      <c r="I1956" s="19" t="n"/>
      <c r="J1956" s="19" t="n"/>
      <c r="K1956" s="19" t="n"/>
      <c r="L1956" s="19" t="n"/>
      <c r="M1956" s="19" t="n"/>
      <c r="N1956" s="19" t="n"/>
      <c r="O1956" s="19" t="n"/>
      <c r="P1956" s="19" t="n"/>
      <c r="Q1956" s="19" t="n"/>
      <c r="R1956" s="19" t="n"/>
      <c r="S1956" s="19" t="n"/>
    </row>
    <row r="1957">
      <c r="A1957" s="19" t="n"/>
      <c r="B1957" s="19" t="n"/>
      <c r="C1957" s="19" t="n"/>
      <c r="D1957" s="19" t="n"/>
      <c r="E1957" s="19" t="n"/>
      <c r="F1957" s="19" t="n"/>
      <c r="G1957" s="19" t="n"/>
      <c r="H1957" s="19" t="n"/>
      <c r="I1957" s="19" t="n"/>
      <c r="J1957" s="19" t="n"/>
      <c r="K1957" s="19" t="n"/>
      <c r="L1957" s="19" t="n"/>
      <c r="M1957" s="19" t="n"/>
      <c r="N1957" s="19" t="n"/>
      <c r="O1957" s="19" t="n"/>
      <c r="P1957" s="19" t="n"/>
      <c r="Q1957" s="19" t="n"/>
      <c r="R1957" s="19" t="n"/>
      <c r="S1957" s="19" t="n"/>
    </row>
    <row r="1958">
      <c r="A1958" s="19" t="n"/>
      <c r="B1958" s="19" t="n"/>
      <c r="C1958" s="19" t="n"/>
      <c r="D1958" s="19" t="n"/>
      <c r="E1958" s="19" t="n"/>
      <c r="F1958" s="19" t="n"/>
      <c r="G1958" s="19" t="n"/>
      <c r="H1958" s="19" t="n"/>
      <c r="I1958" s="19" t="n"/>
      <c r="J1958" s="19" t="n"/>
      <c r="K1958" s="19" t="n"/>
      <c r="L1958" s="19" t="n"/>
      <c r="M1958" s="19" t="n"/>
      <c r="N1958" s="19" t="n"/>
      <c r="O1958" s="19" t="n"/>
      <c r="P1958" s="19" t="n"/>
      <c r="Q1958" s="19" t="n"/>
      <c r="R1958" s="19" t="n"/>
      <c r="S1958" s="19" t="n"/>
    </row>
    <row r="1959">
      <c r="A1959" s="19" t="n"/>
      <c r="B1959" s="19" t="n"/>
      <c r="C1959" s="19" t="n"/>
      <c r="D1959" s="19" t="n"/>
      <c r="E1959" s="19" t="n"/>
      <c r="F1959" s="19" t="n"/>
      <c r="G1959" s="19" t="n"/>
      <c r="H1959" s="19" t="n"/>
      <c r="I1959" s="19" t="n"/>
      <c r="J1959" s="19" t="n"/>
      <c r="K1959" s="19" t="n"/>
      <c r="L1959" s="19" t="n"/>
      <c r="M1959" s="19" t="n"/>
      <c r="N1959" s="19" t="n"/>
      <c r="O1959" s="19" t="n"/>
      <c r="P1959" s="19" t="n"/>
      <c r="Q1959" s="19" t="n"/>
      <c r="R1959" s="19" t="n"/>
      <c r="S1959" s="19" t="n"/>
    </row>
    <row r="1960">
      <c r="A1960" s="19" t="n"/>
      <c r="B1960" s="19" t="n"/>
      <c r="C1960" s="19" t="n"/>
      <c r="D1960" s="19" t="n"/>
      <c r="E1960" s="19" t="n"/>
      <c r="F1960" s="19" t="n"/>
      <c r="G1960" s="19" t="n"/>
      <c r="H1960" s="19" t="n"/>
      <c r="I1960" s="19" t="n"/>
      <c r="J1960" s="19" t="n"/>
      <c r="K1960" s="19" t="n"/>
      <c r="L1960" s="19" t="n"/>
      <c r="M1960" s="19" t="n"/>
      <c r="N1960" s="19" t="n"/>
      <c r="O1960" s="19" t="n"/>
      <c r="P1960" s="19" t="n"/>
      <c r="Q1960" s="19" t="n"/>
      <c r="R1960" s="19" t="n"/>
      <c r="S1960" s="19" t="n"/>
    </row>
    <row r="1961">
      <c r="A1961" s="19" t="n"/>
      <c r="B1961" s="19" t="n"/>
      <c r="C1961" s="19" t="n"/>
      <c r="D1961" s="19" t="n"/>
      <c r="E1961" s="19" t="n"/>
      <c r="F1961" s="19" t="n"/>
      <c r="G1961" s="19" t="n"/>
      <c r="H1961" s="19" t="n"/>
      <c r="I1961" s="19" t="n"/>
      <c r="J1961" s="19" t="n"/>
      <c r="K1961" s="19" t="n"/>
      <c r="L1961" s="19" t="n"/>
      <c r="M1961" s="19" t="n"/>
      <c r="N1961" s="19" t="n"/>
      <c r="O1961" s="19" t="n"/>
      <c r="P1961" s="19" t="n"/>
      <c r="Q1961" s="19" t="n"/>
      <c r="R1961" s="19" t="n"/>
      <c r="S1961" s="19" t="n"/>
    </row>
    <row r="1962">
      <c r="A1962" s="19" t="n"/>
      <c r="B1962" s="19" t="n"/>
      <c r="C1962" s="19" t="n"/>
      <c r="D1962" s="19" t="n"/>
      <c r="E1962" s="19" t="n"/>
      <c r="F1962" s="19" t="n"/>
      <c r="G1962" s="19" t="n"/>
      <c r="H1962" s="19" t="n"/>
      <c r="I1962" s="19" t="n"/>
      <c r="J1962" s="19" t="n"/>
      <c r="K1962" s="19" t="n"/>
      <c r="L1962" s="19" t="n"/>
      <c r="M1962" s="19" t="n"/>
      <c r="N1962" s="19" t="n"/>
      <c r="O1962" s="19" t="n"/>
      <c r="P1962" s="19" t="n"/>
      <c r="Q1962" s="19" t="n"/>
      <c r="R1962" s="19" t="n"/>
      <c r="S1962" s="19" t="n"/>
    </row>
    <row r="1963">
      <c r="A1963" s="19" t="n"/>
      <c r="B1963" s="19" t="n"/>
      <c r="C1963" s="19" t="n"/>
      <c r="D1963" s="19" t="n"/>
      <c r="E1963" s="19" t="n"/>
      <c r="F1963" s="19" t="n"/>
      <c r="G1963" s="19" t="n"/>
      <c r="H1963" s="19" t="n"/>
      <c r="I1963" s="19" t="n"/>
      <c r="J1963" s="19" t="n"/>
      <c r="K1963" s="19" t="n"/>
      <c r="L1963" s="19" t="n"/>
      <c r="M1963" s="19" t="n"/>
      <c r="N1963" s="19" t="n"/>
      <c r="O1963" s="19" t="n"/>
      <c r="P1963" s="19" t="n"/>
      <c r="Q1963" s="19" t="n"/>
      <c r="R1963" s="19" t="n"/>
      <c r="S1963" s="19" t="n"/>
    </row>
    <row r="1964">
      <c r="A1964" s="19" t="n"/>
      <c r="B1964" s="19" t="n"/>
      <c r="C1964" s="19" t="n"/>
      <c r="D1964" s="19" t="n"/>
      <c r="E1964" s="19" t="n"/>
      <c r="F1964" s="19" t="n"/>
      <c r="G1964" s="19" t="n"/>
      <c r="H1964" s="19" t="n"/>
      <c r="I1964" s="19" t="n"/>
      <c r="J1964" s="19" t="n"/>
      <c r="K1964" s="19" t="n"/>
      <c r="L1964" s="19" t="n"/>
      <c r="M1964" s="19" t="n"/>
      <c r="N1964" s="19" t="n"/>
      <c r="O1964" s="19" t="n"/>
      <c r="P1964" s="19" t="n"/>
      <c r="Q1964" s="19" t="n"/>
      <c r="R1964" s="19" t="n"/>
      <c r="S1964" s="19" t="n"/>
    </row>
    <row r="1965">
      <c r="A1965" s="19" t="n"/>
      <c r="B1965" s="19" t="n"/>
      <c r="C1965" s="19" t="n"/>
      <c r="D1965" s="19" t="n"/>
      <c r="E1965" s="19" t="n"/>
      <c r="F1965" s="19" t="n"/>
      <c r="G1965" s="19" t="n"/>
      <c r="H1965" s="19" t="n"/>
      <c r="I1965" s="19" t="n"/>
      <c r="J1965" s="19" t="n"/>
      <c r="K1965" s="19" t="n"/>
      <c r="L1965" s="19" t="n"/>
      <c r="M1965" s="19" t="n"/>
      <c r="N1965" s="19" t="n"/>
      <c r="O1965" s="19" t="n"/>
      <c r="P1965" s="19" t="n"/>
      <c r="Q1965" s="19" t="n"/>
      <c r="R1965" s="19" t="n"/>
      <c r="S1965" s="19" t="n"/>
    </row>
    <row r="1966">
      <c r="A1966" s="19" t="n"/>
      <c r="B1966" s="19" t="n"/>
      <c r="C1966" s="19" t="n"/>
      <c r="D1966" s="19" t="n"/>
      <c r="E1966" s="19" t="n"/>
      <c r="F1966" s="19" t="n"/>
      <c r="G1966" s="19" t="n"/>
      <c r="H1966" s="19" t="n"/>
      <c r="I1966" s="19" t="n"/>
      <c r="J1966" s="19" t="n"/>
      <c r="K1966" s="19" t="n"/>
      <c r="L1966" s="19" t="n"/>
      <c r="M1966" s="19" t="n"/>
      <c r="N1966" s="19" t="n"/>
      <c r="O1966" s="19" t="n"/>
      <c r="P1966" s="19" t="n"/>
      <c r="Q1966" s="19" t="n"/>
      <c r="R1966" s="19" t="n"/>
      <c r="S1966" s="19" t="n"/>
    </row>
    <row r="1967">
      <c r="A1967" s="19" t="n"/>
      <c r="B1967" s="19" t="n"/>
      <c r="C1967" s="19" t="n"/>
      <c r="D1967" s="19" t="n"/>
      <c r="E1967" s="19" t="n"/>
      <c r="F1967" s="19" t="n"/>
      <c r="G1967" s="19" t="n"/>
      <c r="H1967" s="19" t="n"/>
      <c r="I1967" s="19" t="n"/>
      <c r="J1967" s="19" t="n"/>
      <c r="K1967" s="19" t="n"/>
      <c r="L1967" s="19" t="n"/>
      <c r="M1967" s="19" t="n"/>
      <c r="N1967" s="19" t="n"/>
      <c r="O1967" s="19" t="n"/>
      <c r="P1967" s="19" t="n"/>
      <c r="Q1967" s="19" t="n"/>
      <c r="R1967" s="19" t="n"/>
      <c r="S1967" s="19" t="n"/>
    </row>
    <row r="1968">
      <c r="A1968" s="19" t="n"/>
      <c r="B1968" s="19" t="n"/>
      <c r="C1968" s="19" t="n"/>
      <c r="D1968" s="19" t="n"/>
      <c r="E1968" s="19" t="n"/>
      <c r="F1968" s="19" t="n"/>
      <c r="G1968" s="19" t="n"/>
      <c r="H1968" s="19" t="n"/>
      <c r="I1968" s="19" t="n"/>
      <c r="J1968" s="19" t="n"/>
      <c r="K1968" s="19" t="n"/>
      <c r="L1968" s="19" t="n"/>
      <c r="M1968" s="19" t="n"/>
      <c r="N1968" s="19" t="n"/>
      <c r="O1968" s="19" t="n"/>
      <c r="P1968" s="19" t="n"/>
      <c r="Q1968" s="19" t="n"/>
      <c r="R1968" s="19" t="n"/>
      <c r="S1968" s="19" t="n"/>
    </row>
    <row r="1969">
      <c r="A1969" s="19" t="n"/>
      <c r="B1969" s="19" t="n"/>
      <c r="C1969" s="19" t="n"/>
      <c r="D1969" s="19" t="n"/>
      <c r="E1969" s="19" t="n"/>
      <c r="F1969" s="19" t="n"/>
      <c r="G1969" s="19" t="n"/>
      <c r="H1969" s="19" t="n"/>
      <c r="I1969" s="19" t="n"/>
      <c r="J1969" s="19" t="n"/>
      <c r="K1969" s="19" t="n"/>
      <c r="L1969" s="19" t="n"/>
      <c r="M1969" s="19" t="n"/>
      <c r="N1969" s="19" t="n"/>
      <c r="O1969" s="19" t="n"/>
      <c r="P1969" s="19" t="n"/>
      <c r="Q1969" s="19" t="n"/>
      <c r="R1969" s="19" t="n"/>
      <c r="S1969" s="19" t="n"/>
    </row>
    <row r="1970">
      <c r="A1970" s="19" t="n"/>
      <c r="B1970" s="19" t="n"/>
      <c r="C1970" s="19" t="n"/>
      <c r="D1970" s="19" t="n"/>
      <c r="E1970" s="19" t="n"/>
      <c r="F1970" s="19" t="n"/>
      <c r="G1970" s="19" t="n"/>
      <c r="H1970" s="19" t="n"/>
      <c r="I1970" s="19" t="n"/>
      <c r="J1970" s="19" t="n"/>
      <c r="K1970" s="19" t="n"/>
      <c r="L1970" s="19" t="n"/>
      <c r="M1970" s="19" t="n"/>
      <c r="N1970" s="19" t="n"/>
      <c r="O1970" s="19" t="n"/>
      <c r="P1970" s="19" t="n"/>
      <c r="Q1970" s="19" t="n"/>
      <c r="R1970" s="19" t="n"/>
      <c r="S1970" s="19" t="n"/>
    </row>
    <row r="1971">
      <c r="A1971" s="19" t="n"/>
      <c r="B1971" s="19" t="n"/>
      <c r="C1971" s="19" t="n"/>
      <c r="D1971" s="19" t="n"/>
      <c r="E1971" s="19" t="n"/>
      <c r="F1971" s="19" t="n"/>
      <c r="G1971" s="19" t="n"/>
      <c r="H1971" s="19" t="n"/>
      <c r="I1971" s="19" t="n"/>
      <c r="J1971" s="19" t="n"/>
      <c r="K1971" s="19" t="n"/>
      <c r="L1971" s="19" t="n"/>
      <c r="M1971" s="19" t="n"/>
      <c r="N1971" s="19" t="n"/>
      <c r="O1971" s="19" t="n"/>
      <c r="P1971" s="19" t="n"/>
      <c r="Q1971" s="19" t="n"/>
      <c r="R1971" s="19" t="n"/>
      <c r="S1971" s="19" t="n"/>
    </row>
    <row r="1972">
      <c r="A1972" s="19" t="n"/>
      <c r="B1972" s="19" t="n"/>
      <c r="C1972" s="19" t="n"/>
      <c r="D1972" s="19" t="n"/>
      <c r="E1972" s="19" t="n"/>
      <c r="F1972" s="19" t="n"/>
      <c r="G1972" s="19" t="n"/>
      <c r="H1972" s="19" t="n"/>
      <c r="I1972" s="19" t="n"/>
      <c r="J1972" s="19" t="n"/>
      <c r="K1972" s="19" t="n"/>
      <c r="L1972" s="19" t="n"/>
      <c r="M1972" s="19" t="n"/>
      <c r="N1972" s="19" t="n"/>
      <c r="O1972" s="19" t="n"/>
      <c r="P1972" s="19" t="n"/>
      <c r="Q1972" s="19" t="n"/>
      <c r="R1972" s="19" t="n"/>
      <c r="S1972" s="19" t="n"/>
    </row>
    <row r="1973">
      <c r="A1973" s="19" t="n"/>
      <c r="B1973" s="19" t="n"/>
      <c r="C1973" s="19" t="n"/>
      <c r="D1973" s="19" t="n"/>
      <c r="E1973" s="19" t="n"/>
      <c r="F1973" s="19" t="n"/>
      <c r="G1973" s="19" t="n"/>
      <c r="H1973" s="19" t="n"/>
      <c r="I1973" s="19" t="n"/>
      <c r="J1973" s="19" t="n"/>
      <c r="K1973" s="19" t="n"/>
      <c r="L1973" s="19" t="n"/>
      <c r="M1973" s="19" t="n"/>
      <c r="N1973" s="19" t="n"/>
      <c r="O1973" s="19" t="n"/>
      <c r="P1973" s="19" t="n"/>
      <c r="Q1973" s="19" t="n"/>
      <c r="R1973" s="19" t="n"/>
      <c r="S1973" s="19" t="n"/>
    </row>
    <row r="1974">
      <c r="A1974" s="19" t="n"/>
      <c r="B1974" s="19" t="n"/>
      <c r="C1974" s="19" t="n"/>
      <c r="D1974" s="19" t="n"/>
      <c r="E1974" s="19" t="n"/>
      <c r="F1974" s="19" t="n"/>
      <c r="G1974" s="19" t="n"/>
      <c r="H1974" s="19" t="n"/>
      <c r="I1974" s="19" t="n"/>
      <c r="J1974" s="19" t="n"/>
      <c r="K1974" s="19" t="n"/>
      <c r="L1974" s="19" t="n"/>
      <c r="M1974" s="19" t="n"/>
      <c r="N1974" s="19" t="n"/>
      <c r="O1974" s="19" t="n"/>
      <c r="P1974" s="19" t="n"/>
      <c r="Q1974" s="19" t="n"/>
      <c r="R1974" s="19" t="n"/>
      <c r="S1974" s="19" t="n"/>
    </row>
    <row r="1975">
      <c r="A1975" s="19" t="n"/>
      <c r="B1975" s="19" t="n"/>
      <c r="C1975" s="19" t="n"/>
      <c r="D1975" s="19" t="n"/>
      <c r="E1975" s="19" t="n"/>
      <c r="F1975" s="19" t="n"/>
      <c r="G1975" s="19" t="n"/>
      <c r="H1975" s="19" t="n"/>
      <c r="I1975" s="19" t="n"/>
      <c r="J1975" s="19" t="n"/>
      <c r="K1975" s="19" t="n"/>
      <c r="L1975" s="19" t="n"/>
      <c r="M1975" s="19" t="n"/>
      <c r="N1975" s="19" t="n"/>
      <c r="O1975" s="19" t="n"/>
      <c r="P1975" s="19" t="n"/>
      <c r="Q1975" s="19" t="n"/>
      <c r="R1975" s="19" t="n"/>
      <c r="S1975" s="19" t="n"/>
    </row>
    <row r="1976">
      <c r="A1976" s="19" t="n"/>
      <c r="B1976" s="19" t="n"/>
      <c r="C1976" s="19" t="n"/>
      <c r="D1976" s="19" t="n"/>
      <c r="E1976" s="19" t="n"/>
      <c r="F1976" s="19" t="n"/>
      <c r="G1976" s="19" t="n"/>
      <c r="H1976" s="19" t="n"/>
      <c r="I1976" s="19" t="n"/>
      <c r="J1976" s="19" t="n"/>
      <c r="K1976" s="19" t="n"/>
      <c r="L1976" s="19" t="n"/>
      <c r="M1976" s="19" t="n"/>
      <c r="N1976" s="19" t="n"/>
      <c r="O1976" s="19" t="n"/>
      <c r="P1976" s="19" t="n"/>
      <c r="Q1976" s="19" t="n"/>
      <c r="R1976" s="19" t="n"/>
      <c r="S1976" s="19" t="n"/>
    </row>
    <row r="1977">
      <c r="A1977" s="19" t="n"/>
      <c r="B1977" s="19" t="n"/>
      <c r="C1977" s="19" t="n"/>
      <c r="D1977" s="19" t="n"/>
      <c r="E1977" s="19" t="n"/>
      <c r="F1977" s="19" t="n"/>
      <c r="G1977" s="19" t="n"/>
      <c r="H1977" s="19" t="n"/>
      <c r="I1977" s="19" t="n"/>
      <c r="J1977" s="19" t="n"/>
      <c r="K1977" s="19" t="n"/>
      <c r="L1977" s="19" t="n"/>
      <c r="M1977" s="19" t="n"/>
      <c r="N1977" s="19" t="n"/>
      <c r="O1977" s="19" t="n"/>
      <c r="P1977" s="19" t="n"/>
      <c r="Q1977" s="19" t="n"/>
      <c r="R1977" s="19" t="n"/>
      <c r="S1977" s="19" t="n"/>
    </row>
    <row r="1978">
      <c r="A1978" s="19" t="n"/>
      <c r="B1978" s="19" t="n"/>
      <c r="C1978" s="19" t="n"/>
      <c r="D1978" s="19" t="n"/>
      <c r="E1978" s="19" t="n"/>
      <c r="F1978" s="19" t="n"/>
      <c r="G1978" s="19" t="n"/>
      <c r="H1978" s="19" t="n"/>
      <c r="I1978" s="19" t="n"/>
      <c r="J1978" s="19" t="n"/>
      <c r="K1978" s="19" t="n"/>
      <c r="L1978" s="19" t="n"/>
      <c r="M1978" s="19" t="n"/>
      <c r="N1978" s="19" t="n"/>
      <c r="O1978" s="19" t="n"/>
      <c r="P1978" s="19" t="n"/>
      <c r="Q1978" s="19" t="n"/>
      <c r="R1978" s="19" t="n"/>
      <c r="S1978" s="19" t="n"/>
    </row>
    <row r="1979">
      <c r="A1979" s="19" t="n"/>
      <c r="B1979" s="19" t="n"/>
      <c r="C1979" s="19" t="n"/>
      <c r="D1979" s="19" t="n"/>
      <c r="E1979" s="19" t="n"/>
      <c r="F1979" s="19" t="n"/>
      <c r="G1979" s="19" t="n"/>
      <c r="H1979" s="19" t="n"/>
      <c r="I1979" s="19" t="n"/>
      <c r="J1979" s="19" t="n"/>
      <c r="K1979" s="19" t="n"/>
      <c r="L1979" s="19" t="n"/>
      <c r="M1979" s="19" t="n"/>
      <c r="N1979" s="19" t="n"/>
      <c r="O1979" s="19" t="n"/>
      <c r="P1979" s="19" t="n"/>
      <c r="Q1979" s="19" t="n"/>
      <c r="R1979" s="19" t="n"/>
      <c r="S1979" s="19" t="n"/>
    </row>
    <row r="1980">
      <c r="A1980" s="19" t="n"/>
      <c r="B1980" s="19" t="n"/>
      <c r="C1980" s="19" t="n"/>
      <c r="D1980" s="19" t="n"/>
      <c r="E1980" s="19" t="n"/>
      <c r="F1980" s="19" t="n"/>
      <c r="G1980" s="19" t="n"/>
      <c r="H1980" s="19" t="n"/>
      <c r="I1980" s="19" t="n"/>
      <c r="J1980" s="19" t="n"/>
      <c r="K1980" s="19" t="n"/>
      <c r="L1980" s="19" t="n"/>
      <c r="M1980" s="19" t="n"/>
      <c r="N1980" s="19" t="n"/>
      <c r="O1980" s="19" t="n"/>
      <c r="P1980" s="19" t="n"/>
      <c r="Q1980" s="19" t="n"/>
      <c r="R1980" s="19" t="n"/>
      <c r="S1980" s="19" t="n"/>
    </row>
    <row r="1981">
      <c r="A1981" s="19" t="n"/>
      <c r="B1981" s="19" t="n"/>
      <c r="C1981" s="19" t="n"/>
      <c r="D1981" s="19" t="n"/>
      <c r="E1981" s="19" t="n"/>
      <c r="F1981" s="19" t="n"/>
      <c r="G1981" s="19" t="n"/>
      <c r="H1981" s="19" t="n"/>
      <c r="I1981" s="19" t="n"/>
      <c r="J1981" s="19" t="n"/>
      <c r="K1981" s="19" t="n"/>
      <c r="L1981" s="19" t="n"/>
      <c r="M1981" s="19" t="n"/>
      <c r="N1981" s="19" t="n"/>
      <c r="O1981" s="19" t="n"/>
      <c r="P1981" s="19" t="n"/>
      <c r="Q1981" s="19" t="n"/>
      <c r="R1981" s="19" t="n"/>
      <c r="S1981" s="19" t="n"/>
    </row>
    <row r="1982">
      <c r="A1982" s="19" t="n"/>
      <c r="B1982" s="19" t="n"/>
      <c r="C1982" s="19" t="n"/>
      <c r="D1982" s="19" t="n"/>
      <c r="E1982" s="19" t="n"/>
      <c r="F1982" s="19" t="n"/>
      <c r="G1982" s="19" t="n"/>
      <c r="H1982" s="19" t="n"/>
      <c r="I1982" s="19" t="n"/>
      <c r="J1982" s="19" t="n"/>
      <c r="K1982" s="19" t="n"/>
      <c r="L1982" s="19" t="n"/>
      <c r="M1982" s="19" t="n"/>
      <c r="N1982" s="19" t="n"/>
      <c r="O1982" s="19" t="n"/>
      <c r="P1982" s="19" t="n"/>
      <c r="Q1982" s="19" t="n"/>
      <c r="R1982" s="19" t="n"/>
      <c r="S1982" s="19" t="n"/>
    </row>
    <row r="1983">
      <c r="A1983" s="19" t="n"/>
      <c r="B1983" s="19" t="n"/>
      <c r="C1983" s="19" t="n"/>
      <c r="D1983" s="19" t="n"/>
      <c r="E1983" s="19" t="n"/>
      <c r="F1983" s="19" t="n"/>
      <c r="G1983" s="19" t="n"/>
      <c r="H1983" s="19" t="n"/>
      <c r="I1983" s="19" t="n"/>
      <c r="J1983" s="19" t="n"/>
      <c r="K1983" s="19" t="n"/>
      <c r="L1983" s="19" t="n"/>
      <c r="M1983" s="19" t="n"/>
      <c r="N1983" s="19" t="n"/>
      <c r="O1983" s="19" t="n"/>
      <c r="P1983" s="19" t="n"/>
      <c r="Q1983" s="19" t="n"/>
      <c r="R1983" s="19" t="n"/>
      <c r="S1983" s="19" t="n"/>
    </row>
    <row r="1984">
      <c r="A1984" s="19" t="n"/>
      <c r="B1984" s="19" t="n"/>
      <c r="C1984" s="19" t="n"/>
      <c r="D1984" s="19" t="n"/>
      <c r="E1984" s="19" t="n"/>
      <c r="F1984" s="19" t="n"/>
      <c r="G1984" s="19" t="n"/>
      <c r="H1984" s="19" t="n"/>
      <c r="I1984" s="19" t="n"/>
      <c r="J1984" s="19" t="n"/>
      <c r="K1984" s="19" t="n"/>
      <c r="L1984" s="19" t="n"/>
      <c r="M1984" s="19" t="n"/>
      <c r="N1984" s="19" t="n"/>
      <c r="O1984" s="19" t="n"/>
      <c r="P1984" s="19" t="n"/>
      <c r="Q1984" s="19" t="n"/>
      <c r="R1984" s="19" t="n"/>
      <c r="S1984" s="19" t="n"/>
    </row>
    <row r="1985">
      <c r="A1985" s="19" t="n"/>
      <c r="B1985" s="19" t="n"/>
      <c r="C1985" s="19" t="n"/>
      <c r="D1985" s="19" t="n"/>
      <c r="E1985" s="19" t="n"/>
      <c r="F1985" s="19" t="n"/>
      <c r="G1985" s="19" t="n"/>
      <c r="H1985" s="19" t="n"/>
      <c r="I1985" s="19" t="n"/>
      <c r="J1985" s="19" t="n"/>
      <c r="K1985" s="19" t="n"/>
      <c r="L1985" s="19" t="n"/>
      <c r="M1985" s="19" t="n"/>
      <c r="N1985" s="19" t="n"/>
      <c r="O1985" s="19" t="n"/>
      <c r="P1985" s="19" t="n"/>
      <c r="Q1985" s="19" t="n"/>
      <c r="R1985" s="19" t="n"/>
      <c r="S1985" s="19" t="n"/>
    </row>
    <row r="1986">
      <c r="A1986" s="19" t="n"/>
      <c r="B1986" s="19" t="n"/>
      <c r="C1986" s="19" t="n"/>
      <c r="D1986" s="19" t="n"/>
      <c r="E1986" s="19" t="n"/>
      <c r="F1986" s="19" t="n"/>
      <c r="G1986" s="19" t="n"/>
      <c r="H1986" s="19" t="n"/>
      <c r="I1986" s="19" t="n"/>
      <c r="J1986" s="19" t="n"/>
      <c r="K1986" s="19" t="n"/>
      <c r="L1986" s="19" t="n"/>
      <c r="M1986" s="19" t="n"/>
      <c r="N1986" s="19" t="n"/>
      <c r="O1986" s="19" t="n"/>
      <c r="P1986" s="19" t="n"/>
      <c r="Q1986" s="19" t="n"/>
      <c r="R1986" s="19" t="n"/>
      <c r="S1986" s="19" t="n"/>
    </row>
    <row r="1987">
      <c r="A1987" s="19" t="n"/>
      <c r="B1987" s="19" t="n"/>
      <c r="C1987" s="19" t="n"/>
      <c r="D1987" s="19" t="n"/>
      <c r="E1987" s="19" t="n"/>
      <c r="F1987" s="19" t="n"/>
      <c r="G1987" s="19" t="n"/>
      <c r="H1987" s="19" t="n"/>
      <c r="I1987" s="19" t="n"/>
      <c r="J1987" s="19" t="n"/>
      <c r="K1987" s="19" t="n"/>
      <c r="L1987" s="19" t="n"/>
      <c r="M1987" s="19" t="n"/>
      <c r="N1987" s="19" t="n"/>
      <c r="O1987" s="19" t="n"/>
      <c r="P1987" s="19" t="n"/>
      <c r="Q1987" s="19" t="n"/>
      <c r="R1987" s="19" t="n"/>
      <c r="S1987" s="19" t="n"/>
    </row>
    <row r="1988">
      <c r="A1988" s="19" t="n"/>
      <c r="B1988" s="19" t="n"/>
      <c r="C1988" s="19" t="n"/>
      <c r="D1988" s="19" t="n"/>
      <c r="E1988" s="19" t="n"/>
      <c r="F1988" s="19" t="n"/>
      <c r="G1988" s="19" t="n"/>
      <c r="H1988" s="19" t="n"/>
      <c r="I1988" s="19" t="n"/>
      <c r="J1988" s="19" t="n"/>
      <c r="K1988" s="19" t="n"/>
      <c r="L1988" s="19" t="n"/>
      <c r="M1988" s="19" t="n"/>
      <c r="N1988" s="19" t="n"/>
      <c r="O1988" s="19" t="n"/>
      <c r="P1988" s="19" t="n"/>
      <c r="Q1988" s="19" t="n"/>
      <c r="R1988" s="19" t="n"/>
      <c r="S1988" s="19" t="n"/>
    </row>
    <row r="1989">
      <c r="A1989" s="19" t="n"/>
      <c r="B1989" s="19" t="n"/>
      <c r="C1989" s="19" t="n"/>
      <c r="D1989" s="19" t="n"/>
      <c r="E1989" s="19" t="n"/>
      <c r="F1989" s="19" t="n"/>
      <c r="G1989" s="19" t="n"/>
      <c r="H1989" s="19" t="n"/>
      <c r="I1989" s="19" t="n"/>
      <c r="J1989" s="19" t="n"/>
      <c r="K1989" s="19" t="n"/>
      <c r="L1989" s="19" t="n"/>
      <c r="M1989" s="19" t="n"/>
      <c r="N1989" s="19" t="n"/>
      <c r="O1989" s="19" t="n"/>
      <c r="P1989" s="19" t="n"/>
      <c r="Q1989" s="19" t="n"/>
      <c r="R1989" s="19" t="n"/>
      <c r="S1989" s="19" t="n"/>
    </row>
    <row r="1990">
      <c r="A1990" s="19" t="n"/>
      <c r="B1990" s="19" t="n"/>
      <c r="C1990" s="19" t="n"/>
      <c r="D1990" s="19" t="n"/>
      <c r="E1990" s="19" t="n"/>
      <c r="F1990" s="19" t="n"/>
      <c r="G1990" s="19" t="n"/>
      <c r="H1990" s="19" t="n"/>
      <c r="I1990" s="19" t="n"/>
      <c r="J1990" s="19" t="n"/>
      <c r="K1990" s="19" t="n"/>
      <c r="L1990" s="19" t="n"/>
      <c r="M1990" s="19" t="n"/>
      <c r="N1990" s="19" t="n"/>
      <c r="O1990" s="19" t="n"/>
      <c r="P1990" s="19" t="n"/>
      <c r="Q1990" s="19" t="n"/>
      <c r="R1990" s="19" t="n"/>
      <c r="S1990" s="19" t="n"/>
    </row>
    <row r="1991">
      <c r="A1991" s="19" t="n"/>
      <c r="B1991" s="19" t="n"/>
      <c r="C1991" s="19" t="n"/>
      <c r="D1991" s="19" t="n"/>
      <c r="E1991" s="19" t="n"/>
      <c r="F1991" s="19" t="n"/>
      <c r="G1991" s="19" t="n"/>
      <c r="H1991" s="19" t="n"/>
      <c r="I1991" s="19" t="n"/>
      <c r="J1991" s="19" t="n"/>
      <c r="K1991" s="19" t="n"/>
      <c r="L1991" s="19" t="n"/>
      <c r="M1991" s="19" t="n"/>
      <c r="N1991" s="19" t="n"/>
      <c r="O1991" s="19" t="n"/>
      <c r="P1991" s="19" t="n"/>
      <c r="Q1991" s="19" t="n"/>
      <c r="R1991" s="19" t="n"/>
      <c r="S1991" s="19" t="n"/>
    </row>
    <row r="1992">
      <c r="A1992" s="19" t="n"/>
      <c r="B1992" s="19" t="n"/>
      <c r="C1992" s="19" t="n"/>
      <c r="D1992" s="19" t="n"/>
      <c r="E1992" s="19" t="n"/>
      <c r="F1992" s="19" t="n"/>
      <c r="G1992" s="19" t="n"/>
      <c r="H1992" s="19" t="n"/>
      <c r="I1992" s="19" t="n"/>
      <c r="J1992" s="19" t="n"/>
      <c r="K1992" s="19" t="n"/>
      <c r="L1992" s="19" t="n"/>
      <c r="M1992" s="19" t="n"/>
      <c r="N1992" s="19" t="n"/>
      <c r="O1992" s="19" t="n"/>
      <c r="P1992" s="19" t="n"/>
      <c r="Q1992" s="19" t="n"/>
      <c r="R1992" s="19" t="n"/>
      <c r="S1992" s="19" t="n"/>
    </row>
    <row r="1993">
      <c r="A1993" s="19" t="n"/>
      <c r="B1993" s="19" t="n"/>
      <c r="C1993" s="19" t="n"/>
      <c r="D1993" s="19" t="n"/>
      <c r="E1993" s="19" t="n"/>
      <c r="F1993" s="19" t="n"/>
      <c r="G1993" s="19" t="n"/>
      <c r="H1993" s="19" t="n"/>
      <c r="I1993" s="19" t="n"/>
      <c r="J1993" s="19" t="n"/>
      <c r="K1993" s="19" t="n"/>
      <c r="L1993" s="19" t="n"/>
      <c r="M1993" s="19" t="n"/>
      <c r="N1993" s="19" t="n"/>
      <c r="O1993" s="19" t="n"/>
      <c r="P1993" s="19" t="n"/>
      <c r="Q1993" s="19" t="n"/>
      <c r="R1993" s="19" t="n"/>
      <c r="S1993" s="19" t="n"/>
    </row>
    <row r="1994">
      <c r="A1994" s="19" t="n"/>
      <c r="B1994" s="19" t="n"/>
      <c r="C1994" s="19" t="n"/>
      <c r="D1994" s="19" t="n"/>
      <c r="E1994" s="19" t="n"/>
      <c r="F1994" s="19" t="n"/>
      <c r="G1994" s="19" t="n"/>
      <c r="H1994" s="19" t="n"/>
      <c r="I1994" s="19" t="n"/>
      <c r="J1994" s="19" t="n"/>
      <c r="K1994" s="19" t="n"/>
      <c r="L1994" s="19" t="n"/>
      <c r="M1994" s="19" t="n"/>
      <c r="N1994" s="19" t="n"/>
      <c r="O1994" s="19" t="n"/>
      <c r="P1994" s="19" t="n"/>
      <c r="Q1994" s="19" t="n"/>
      <c r="R1994" s="19" t="n"/>
      <c r="S1994" s="19" t="n"/>
    </row>
    <row r="1995">
      <c r="A1995" s="19" t="n"/>
      <c r="B1995" s="19" t="n"/>
      <c r="C1995" s="19" t="n"/>
      <c r="D1995" s="19" t="n"/>
      <c r="E1995" s="19" t="n"/>
      <c r="F1995" s="19" t="n"/>
      <c r="G1995" s="19" t="n"/>
      <c r="H1995" s="19" t="n"/>
      <c r="I1995" s="19" t="n"/>
      <c r="J1995" s="19" t="n"/>
      <c r="K1995" s="19" t="n"/>
      <c r="L1995" s="19" t="n"/>
      <c r="M1995" s="19" t="n"/>
      <c r="N1995" s="19" t="n"/>
      <c r="O1995" s="19" t="n"/>
      <c r="P1995" s="19" t="n"/>
      <c r="Q1995" s="19" t="n"/>
      <c r="R1995" s="19" t="n"/>
      <c r="S1995" s="19" t="n"/>
    </row>
    <row r="1996">
      <c r="A1996" s="19" t="n"/>
      <c r="B1996" s="19" t="n"/>
      <c r="C1996" s="19" t="n"/>
      <c r="D1996" s="19" t="n"/>
      <c r="E1996" s="19" t="n"/>
      <c r="F1996" s="19" t="n"/>
      <c r="G1996" s="19" t="n"/>
      <c r="H1996" s="19" t="n"/>
      <c r="I1996" s="19" t="n"/>
      <c r="J1996" s="19" t="n"/>
      <c r="K1996" s="19" t="n"/>
      <c r="L1996" s="19" t="n"/>
      <c r="M1996" s="19" t="n"/>
      <c r="N1996" s="19" t="n"/>
      <c r="O1996" s="19" t="n"/>
      <c r="P1996" s="19" t="n"/>
      <c r="Q1996" s="19" t="n"/>
      <c r="R1996" s="19" t="n"/>
      <c r="S1996" s="19" t="n"/>
    </row>
    <row r="1997">
      <c r="A1997" s="19" t="n"/>
      <c r="B1997" s="19" t="n"/>
      <c r="C1997" s="19" t="n"/>
      <c r="D1997" s="19" t="n"/>
      <c r="E1997" s="19" t="n"/>
      <c r="F1997" s="19" t="n"/>
      <c r="G1997" s="19" t="n"/>
      <c r="H1997" s="19" t="n"/>
      <c r="I1997" s="19" t="n"/>
      <c r="J1997" s="19" t="n"/>
      <c r="K1997" s="19" t="n"/>
      <c r="L1997" s="19" t="n"/>
      <c r="M1997" s="19" t="n"/>
      <c r="N1997" s="19" t="n"/>
      <c r="O1997" s="19" t="n"/>
      <c r="P1997" s="19" t="n"/>
      <c r="Q1997" s="19" t="n"/>
      <c r="R1997" s="19" t="n"/>
      <c r="S1997" s="19" t="n"/>
    </row>
    <row r="1998">
      <c r="A1998" s="19" t="n"/>
      <c r="B1998" s="19" t="n"/>
      <c r="C1998" s="19" t="n"/>
      <c r="D1998" s="19" t="n"/>
      <c r="E1998" s="19" t="n"/>
      <c r="F1998" s="19" t="n"/>
      <c r="G1998" s="19" t="n"/>
      <c r="H1998" s="19" t="n"/>
      <c r="I1998" s="19" t="n"/>
      <c r="J1998" s="19" t="n"/>
      <c r="K1998" s="19" t="n"/>
      <c r="L1998" s="19" t="n"/>
      <c r="M1998" s="19" t="n"/>
      <c r="N1998" s="19" t="n"/>
      <c r="O1998" s="19" t="n"/>
      <c r="P1998" s="19" t="n"/>
      <c r="Q1998" s="19" t="n"/>
      <c r="R1998" s="19" t="n"/>
      <c r="S1998" s="19" t="n"/>
    </row>
    <row r="1999">
      <c r="A1999" s="19" t="n"/>
      <c r="B1999" s="19" t="n"/>
      <c r="C1999" s="19" t="n"/>
      <c r="D1999" s="19" t="n"/>
      <c r="E1999" s="19" t="n"/>
      <c r="F1999" s="19" t="n"/>
      <c r="G1999" s="19" t="n"/>
      <c r="H1999" s="19" t="n"/>
      <c r="I1999" s="19" t="n"/>
      <c r="J1999" s="19" t="n"/>
      <c r="K1999" s="19" t="n"/>
      <c r="L1999" s="19" t="n"/>
      <c r="M1999" s="19" t="n"/>
      <c r="N1999" s="19" t="n"/>
      <c r="O1999" s="19" t="n"/>
      <c r="P1999" s="19" t="n"/>
      <c r="Q1999" s="19" t="n"/>
      <c r="R1999" s="19" t="n"/>
      <c r="S1999" s="19" t="n"/>
    </row>
    <row r="2000">
      <c r="A2000" s="19" t="n"/>
      <c r="B2000" s="19" t="n"/>
      <c r="C2000" s="19" t="n"/>
      <c r="D2000" s="19" t="n"/>
      <c r="E2000" s="19" t="n"/>
      <c r="F2000" s="19" t="n"/>
      <c r="G2000" s="19" t="n"/>
      <c r="H2000" s="19" t="n"/>
      <c r="I2000" s="19" t="n"/>
      <c r="J2000" s="19" t="n"/>
      <c r="K2000" s="19" t="n"/>
      <c r="L2000" s="19" t="n"/>
      <c r="M2000" s="19" t="n"/>
      <c r="N2000" s="19" t="n"/>
      <c r="O2000" s="19" t="n"/>
      <c r="P2000" s="19" t="n"/>
      <c r="Q2000" s="19" t="n"/>
      <c r="R2000" s="19" t="n"/>
      <c r="S2000" s="19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 password="CE4B"/>
  <dataValidations count="4">
    <dataValidation sqref="E5:E2000" showDropDown="0" showInputMessage="0" showErrorMessage="1" allowBlank="1" errorTitle="Invalid value" error="Value not in list" type="list">
      <formula1>=lstProductType</formula1>
    </dataValidation>
    <dataValidation sqref="F5:F2000" showDropDown="0" showInputMessage="0" showErrorMessage="1" allowBlank="1" errorTitle="Invalid value" error="Value not in list" type="list">
      <formula1>=lstCategory</formula1>
    </dataValidation>
    <dataValidation sqref="R5:R2000" showDropDown="0" showInputMessage="0" showErrorMessage="1" allowBlank="1" errorTitle="Invalid value" error="Value not in list" type="list">
      <formula1>=lstBool</formula1>
    </dataValidation>
    <dataValidation sqref="K5:K2000" showDropDown="0" showInputMessage="0" showErrorMessage="1" allowBlank="1" errorTitle="Invalid value" error="Value not in list" type="list">
      <formula1>=lstSupplierIDs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O200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12" customWidth="1" min="11" max="11"/>
    <col width="14" customWidth="1" min="12" max="12"/>
    <col width="24" customWidth="1" min="13" max="13"/>
    <col width="12" customWidth="1" min="14" max="14"/>
    <col width="12" customWidth="1" min="15" max="15"/>
  </cols>
  <sheetData>
    <row r="1">
      <c r="A1" s="1" t="inlineStr">
        <is>
          <t>tblContainers</t>
        </is>
      </c>
    </row>
    <row r="2">
      <c r="A2" s="2" t="inlineStr">
        <is>
          <t>Every physical container/package = one row. Barcode unique. Stock = count of Available.</t>
        </is>
      </c>
    </row>
    <row r="3"/>
    <row r="4">
      <c r="A4" s="6" t="inlineStr">
        <is>
          <t>ContainerID</t>
        </is>
      </c>
      <c r="B4" s="6" t="inlineStr">
        <is>
          <t>Barcode</t>
        </is>
      </c>
      <c r="C4" s="6" t="inlineStr">
        <is>
          <t>ProductID</t>
        </is>
      </c>
      <c r="D4" s="6" t="inlineStr">
        <is>
          <t>BatchLotNumber</t>
        </is>
      </c>
      <c r="E4" s="6" t="inlineStr">
        <is>
          <t>ExpiryDate</t>
        </is>
      </c>
      <c r="F4" s="6" t="inlineStr">
        <is>
          <t>RetestDate</t>
        </is>
      </c>
      <c r="G4" s="6" t="inlineStr">
        <is>
          <t>DateReceived</t>
        </is>
      </c>
      <c r="H4" s="6" t="inlineStr">
        <is>
          <t>StorageLocationID</t>
        </is>
      </c>
      <c r="I4" s="6" t="inlineStr">
        <is>
          <t>Status</t>
        </is>
      </c>
      <c r="J4" s="6" t="inlineStr">
        <is>
          <t>OpenedDate</t>
        </is>
      </c>
      <c r="K4" s="6" t="inlineStr">
        <is>
          <t>DisposalDate</t>
        </is>
      </c>
      <c r="L4" s="6" t="inlineStr">
        <is>
          <t>DisposalReason</t>
        </is>
      </c>
      <c r="M4" s="6" t="inlineStr">
        <is>
          <t>Notes</t>
        </is>
      </c>
      <c r="N4" s="18" t="inlineStr">
        <is>
          <t>HelperContainerNum</t>
        </is>
      </c>
      <c r="O4" s="18" t="inlineStr">
        <is>
          <t>HelperBarcodeNum</t>
        </is>
      </c>
    </row>
    <row r="5">
      <c r="A5" s="19" t="inlineStr">
        <is>
          <t>C000001</t>
        </is>
      </c>
      <c r="B5" s="20" t="inlineStr">
        <is>
          <t>0000001</t>
        </is>
      </c>
      <c r="C5" s="19" t="inlineStr">
        <is>
          <t>P000001</t>
        </is>
      </c>
      <c r="D5" s="19" t="inlineStr">
        <is>
          <t>LOT0001</t>
        </is>
      </c>
      <c r="E5" s="19" t="n"/>
      <c r="F5" s="19" t="n"/>
      <c r="G5" s="21" t="n">
        <v>46032</v>
      </c>
      <c r="H5" s="19" t="inlineStr">
        <is>
          <t>LOC0004</t>
        </is>
      </c>
      <c r="I5" s="19" t="inlineStr">
        <is>
          <t>Available</t>
        </is>
      </c>
      <c r="J5" s="19" t="n"/>
      <c r="K5" s="19" t="n"/>
      <c r="L5" s="19" t="n"/>
      <c r="M5" s="19" t="inlineStr">
        <is>
          <t>Tips box 1</t>
        </is>
      </c>
      <c r="N5">
        <f>VALUE(SUBSTITUTE(A5,"C",""))</f>
        <v/>
      </c>
      <c r="O5">
        <f>VALUE(B5)</f>
        <v/>
      </c>
    </row>
    <row r="6">
      <c r="A6" s="19" t="inlineStr">
        <is>
          <t>C000002</t>
        </is>
      </c>
      <c r="B6" s="20" t="inlineStr">
        <is>
          <t>0000002</t>
        </is>
      </c>
      <c r="C6" s="19" t="inlineStr">
        <is>
          <t>P000001</t>
        </is>
      </c>
      <c r="D6" s="19" t="inlineStr">
        <is>
          <t>LOT0001</t>
        </is>
      </c>
      <c r="E6" s="19" t="n"/>
      <c r="F6" s="19" t="n"/>
      <c r="G6" s="21" t="n">
        <v>46032</v>
      </c>
      <c r="H6" s="19" t="inlineStr">
        <is>
          <t>LOC0004</t>
        </is>
      </c>
      <c r="I6" s="19" t="inlineStr">
        <is>
          <t>Available</t>
        </is>
      </c>
      <c r="J6" s="19" t="n"/>
      <c r="K6" s="19" t="n"/>
      <c r="L6" s="19" t="n"/>
      <c r="M6" s="19" t="inlineStr">
        <is>
          <t>Tips box 2</t>
        </is>
      </c>
      <c r="N6">
        <f>VALUE(SUBSTITUTE(A6,"C",""))</f>
        <v/>
      </c>
      <c r="O6">
        <f>VALUE(B6)</f>
        <v/>
      </c>
    </row>
    <row r="7">
      <c r="A7" s="19" t="inlineStr">
        <is>
          <t>C000003</t>
        </is>
      </c>
      <c r="B7" s="20" t="inlineStr">
        <is>
          <t>0000003</t>
        </is>
      </c>
      <c r="C7" s="19" t="inlineStr">
        <is>
          <t>P000001</t>
        </is>
      </c>
      <c r="D7" s="19" t="inlineStr">
        <is>
          <t>LOT0002</t>
        </is>
      </c>
      <c r="E7" s="19" t="n"/>
      <c r="F7" s="19" t="n"/>
      <c r="G7" s="21" t="n">
        <v>46086</v>
      </c>
      <c r="H7" s="19" t="inlineStr">
        <is>
          <t>LOC0004</t>
        </is>
      </c>
      <c r="I7" s="19" t="inlineStr">
        <is>
          <t>Available</t>
        </is>
      </c>
      <c r="J7" s="21" t="n">
        <v>46087</v>
      </c>
      <c r="K7" s="19" t="n"/>
      <c r="L7" s="19" t="n"/>
      <c r="M7" s="19" t="inlineStr">
        <is>
          <t>Tips box 3 (opened, returned)</t>
        </is>
      </c>
      <c r="N7">
        <f>VALUE(SUBSTITUTE(A7,"C",""))</f>
        <v/>
      </c>
      <c r="O7">
        <f>VALUE(B7)</f>
        <v/>
      </c>
    </row>
    <row r="8">
      <c r="A8" s="19" t="inlineStr">
        <is>
          <t>C000004</t>
        </is>
      </c>
      <c r="B8" s="20" t="inlineStr">
        <is>
          <t>0000004</t>
        </is>
      </c>
      <c r="C8" s="19" t="inlineStr">
        <is>
          <t>P000002</t>
        </is>
      </c>
      <c r="D8" s="19" t="inlineStr">
        <is>
          <t>LOT0010</t>
        </is>
      </c>
      <c r="E8" s="19" t="n"/>
      <c r="F8" s="19" t="n"/>
      <c r="G8" s="21" t="n">
        <v>46073</v>
      </c>
      <c r="H8" s="19" t="inlineStr">
        <is>
          <t>LOC0004</t>
        </is>
      </c>
      <c r="I8" s="19" t="inlineStr">
        <is>
          <t>Available</t>
        </is>
      </c>
      <c r="J8" s="19" t="n"/>
      <c r="K8" s="19" t="n"/>
      <c r="L8" s="19" t="n"/>
      <c r="M8" s="19" t="inlineStr">
        <is>
          <t>Tubes box 1</t>
        </is>
      </c>
      <c r="N8">
        <f>VALUE(SUBSTITUTE(A8,"C",""))</f>
        <v/>
      </c>
      <c r="O8">
        <f>VALUE(B8)</f>
        <v/>
      </c>
    </row>
    <row r="9">
      <c r="A9" s="19" t="inlineStr">
        <is>
          <t>C000005</t>
        </is>
      </c>
      <c r="B9" s="20" t="inlineStr">
        <is>
          <t>0000005</t>
        </is>
      </c>
      <c r="C9" s="19" t="inlineStr">
        <is>
          <t>P000002</t>
        </is>
      </c>
      <c r="D9" s="19" t="inlineStr">
        <is>
          <t>LOT0010</t>
        </is>
      </c>
      <c r="E9" s="19" t="n"/>
      <c r="F9" s="19" t="n"/>
      <c r="G9" s="21" t="n">
        <v>46073</v>
      </c>
      <c r="H9" s="19" t="inlineStr">
        <is>
          <t>LOC0004</t>
        </is>
      </c>
      <c r="I9" s="19" t="inlineStr">
        <is>
          <t>Available</t>
        </is>
      </c>
      <c r="J9" s="19" t="n"/>
      <c r="K9" s="19" t="n"/>
      <c r="L9" s="19" t="n"/>
      <c r="M9" s="19" t="inlineStr">
        <is>
          <t>Tubes box 2</t>
        </is>
      </c>
      <c r="N9">
        <f>VALUE(SUBSTITUTE(A9,"C",""))</f>
        <v/>
      </c>
      <c r="O9">
        <f>VALUE(B9)</f>
        <v/>
      </c>
    </row>
    <row r="10">
      <c r="A10" s="19" t="inlineStr">
        <is>
          <t>C000006</t>
        </is>
      </c>
      <c r="B10" s="20" t="inlineStr">
        <is>
          <t>0000006</t>
        </is>
      </c>
      <c r="C10" s="19" t="inlineStr">
        <is>
          <t>P000002</t>
        </is>
      </c>
      <c r="D10" s="19" t="inlineStr">
        <is>
          <t>LOT0011</t>
        </is>
      </c>
      <c r="E10" s="19" t="n"/>
      <c r="F10" s="19" t="n"/>
      <c r="G10" s="21" t="n">
        <v>46153</v>
      </c>
      <c r="H10" s="19" t="inlineStr">
        <is>
          <t>LOC0005</t>
        </is>
      </c>
      <c r="I10" s="19" t="inlineStr">
        <is>
          <t>InUse</t>
        </is>
      </c>
      <c r="J10" s="21" t="n">
        <v>46154</v>
      </c>
      <c r="K10" s="19" t="n"/>
      <c r="L10" s="19" t="n"/>
      <c r="M10" s="19" t="inlineStr">
        <is>
          <t>Tubes box 3 in use</t>
        </is>
      </c>
      <c r="N10">
        <f>VALUE(SUBSTITUTE(A10,"C",""))</f>
        <v/>
      </c>
      <c r="O10">
        <f>VALUE(B10)</f>
        <v/>
      </c>
    </row>
    <row r="11">
      <c r="A11" s="19" t="inlineStr">
        <is>
          <t>C000007</t>
        </is>
      </c>
      <c r="B11" s="20" t="inlineStr">
        <is>
          <t>0000007</t>
        </is>
      </c>
      <c r="C11" s="19" t="inlineStr">
        <is>
          <t>P000003</t>
        </is>
      </c>
      <c r="D11" s="19" t="inlineStr">
        <is>
          <t>LOT0020</t>
        </is>
      </c>
      <c r="E11" s="21" t="n">
        <v>46492</v>
      </c>
      <c r="F11" s="19" t="n"/>
      <c r="G11" s="21" t="n">
        <v>45962</v>
      </c>
      <c r="H11" s="19" t="inlineStr">
        <is>
          <t>LOC0001</t>
        </is>
      </c>
      <c r="I11" s="19" t="inlineStr">
        <is>
          <t>Available</t>
        </is>
      </c>
      <c r="J11" s="19" t="n"/>
      <c r="K11" s="19" t="n"/>
      <c r="L11" s="19" t="n"/>
      <c r="M11" s="19" t="inlineStr">
        <is>
          <t>Ethanol bottle A</t>
        </is>
      </c>
      <c r="N11">
        <f>VALUE(SUBSTITUTE(A11,"C",""))</f>
        <v/>
      </c>
      <c r="O11">
        <f>VALUE(B11)</f>
        <v/>
      </c>
    </row>
    <row r="12">
      <c r="A12" s="19" t="inlineStr">
        <is>
          <t>C000008</t>
        </is>
      </c>
      <c r="B12" s="20" t="inlineStr">
        <is>
          <t>0000008</t>
        </is>
      </c>
      <c r="C12" s="19" t="inlineStr">
        <is>
          <t>P000003</t>
        </is>
      </c>
      <c r="D12" s="19" t="inlineStr">
        <is>
          <t>LOT0020</t>
        </is>
      </c>
      <c r="E12" s="21" t="n">
        <v>46492</v>
      </c>
      <c r="F12" s="19" t="n"/>
      <c r="G12" s="21" t="n">
        <v>45962</v>
      </c>
      <c r="H12" s="19" t="inlineStr">
        <is>
          <t>LOC0001</t>
        </is>
      </c>
      <c r="I12" s="19" t="inlineStr">
        <is>
          <t>Available</t>
        </is>
      </c>
      <c r="J12" s="19" t="n"/>
      <c r="K12" s="19" t="n"/>
      <c r="L12" s="19" t="n"/>
      <c r="M12" s="19" t="inlineStr">
        <is>
          <t>Ethanol bottle B</t>
        </is>
      </c>
      <c r="N12">
        <f>VALUE(SUBSTITUTE(A12,"C",""))</f>
        <v/>
      </c>
      <c r="O12">
        <f>VALUE(B12)</f>
        <v/>
      </c>
    </row>
    <row r="13">
      <c r="A13" s="19" t="inlineStr">
        <is>
          <t>C000009</t>
        </is>
      </c>
      <c r="B13" s="20" t="inlineStr">
        <is>
          <t>0000009</t>
        </is>
      </c>
      <c r="C13" s="19" t="inlineStr">
        <is>
          <t>P000003</t>
        </is>
      </c>
      <c r="D13" s="19" t="inlineStr">
        <is>
          <t>LOT0021</t>
        </is>
      </c>
      <c r="E13" s="21" t="n">
        <v>46326</v>
      </c>
      <c r="F13" s="19" t="n"/>
      <c r="G13" s="21" t="n">
        <v>46193</v>
      </c>
      <c r="H13" s="19" t="inlineStr">
        <is>
          <t>LOC0001</t>
        </is>
      </c>
      <c r="I13" s="19" t="inlineStr">
        <is>
          <t>Available</t>
        </is>
      </c>
      <c r="J13" s="21" t="n">
        <v>46204</v>
      </c>
      <c r="K13" s="19" t="n"/>
      <c r="L13" s="19" t="n"/>
      <c r="M13" s="19" t="inlineStr">
        <is>
          <t>Ethanol bottle C (opened, returned)</t>
        </is>
      </c>
      <c r="N13">
        <f>VALUE(SUBSTITUTE(A13,"C",""))</f>
        <v/>
      </c>
      <c r="O13">
        <f>VALUE(B13)</f>
        <v/>
      </c>
    </row>
    <row r="14">
      <c r="A14" s="19" t="inlineStr">
        <is>
          <t>C000010</t>
        </is>
      </c>
      <c r="B14" s="20" t="inlineStr">
        <is>
          <t>0000010</t>
        </is>
      </c>
      <c r="C14" s="19" t="inlineStr">
        <is>
          <t>P000004</t>
        </is>
      </c>
      <c r="D14" s="19" t="inlineStr">
        <is>
          <t>LOT0030</t>
        </is>
      </c>
      <c r="E14" s="21" t="n">
        <v>46387</v>
      </c>
      <c r="F14" s="19" t="n"/>
      <c r="G14" s="21" t="n">
        <v>46130</v>
      </c>
      <c r="H14" s="19" t="inlineStr">
        <is>
          <t>LOC0001</t>
        </is>
      </c>
      <c r="I14" s="19" t="inlineStr">
        <is>
          <t>Available</t>
        </is>
      </c>
      <c r="J14" s="19" t="n"/>
      <c r="K14" s="19" t="n"/>
      <c r="L14" s="19" t="n"/>
      <c r="M14" s="19" t="inlineStr">
        <is>
          <t>Methanol bottle A</t>
        </is>
      </c>
      <c r="N14">
        <f>VALUE(SUBSTITUTE(A14,"C",""))</f>
        <v/>
      </c>
      <c r="O14">
        <f>VALUE(B14)</f>
        <v/>
      </c>
    </row>
    <row r="15">
      <c r="A15" s="19" t="inlineStr">
        <is>
          <t>C000011</t>
        </is>
      </c>
      <c r="B15" s="20" t="inlineStr">
        <is>
          <t>0000011</t>
        </is>
      </c>
      <c r="C15" s="19" t="inlineStr">
        <is>
          <t>P000004</t>
        </is>
      </c>
      <c r="D15" s="19" t="inlineStr">
        <is>
          <t>LOT0030</t>
        </is>
      </c>
      <c r="E15" s="21" t="n">
        <v>46387</v>
      </c>
      <c r="F15" s="19" t="n"/>
      <c r="G15" s="21" t="n">
        <v>46130</v>
      </c>
      <c r="H15" s="19" t="inlineStr">
        <is>
          <t>LOC0002</t>
        </is>
      </c>
      <c r="I15" s="19" t="inlineStr">
        <is>
          <t>InUse</t>
        </is>
      </c>
      <c r="J15" s="21" t="n">
        <v>46183</v>
      </c>
      <c r="K15" s="19" t="n"/>
      <c r="L15" s="19" t="n"/>
      <c r="M15" s="19" t="inlineStr">
        <is>
          <t>Methanol bottle B in use</t>
        </is>
      </c>
      <c r="N15">
        <f>VALUE(SUBSTITUTE(A15,"C",""))</f>
        <v/>
      </c>
      <c r="O15">
        <f>VALUE(B15)</f>
        <v/>
      </c>
    </row>
    <row r="16">
      <c r="A16" s="19" t="inlineStr">
        <is>
          <t>C000012</t>
        </is>
      </c>
      <c r="B16" s="20" t="inlineStr">
        <is>
          <t>0000012</t>
        </is>
      </c>
      <c r="C16" s="19" t="inlineStr">
        <is>
          <t>P000005</t>
        </is>
      </c>
      <c r="D16" s="19" t="inlineStr">
        <is>
          <t>LOT0040</t>
        </is>
      </c>
      <c r="E16" s="21" t="n">
        <v>46254</v>
      </c>
      <c r="F16" s="21" t="n">
        <v>46235</v>
      </c>
      <c r="G16" s="21" t="n">
        <v>46143</v>
      </c>
      <c r="H16" s="19" t="inlineStr">
        <is>
          <t>LOC0003</t>
        </is>
      </c>
      <c r="I16" s="19" t="inlineStr">
        <is>
          <t>Available</t>
        </is>
      </c>
      <c r="J16" s="19" t="n"/>
      <c r="K16" s="19" t="n"/>
      <c r="L16" s="19" t="n"/>
      <c r="M16" s="19" t="inlineStr">
        <is>
          <t>Tris reagent (expiring soon, band 30)</t>
        </is>
      </c>
      <c r="N16">
        <f>VALUE(SUBSTITUTE(A16,"C",""))</f>
        <v/>
      </c>
      <c r="O16">
        <f>VALUE(B16)</f>
        <v/>
      </c>
    </row>
    <row r="17">
      <c r="A17" s="19" t="inlineStr">
        <is>
          <t>C000013</t>
        </is>
      </c>
      <c r="B17" s="20" t="inlineStr">
        <is>
          <t>0000013</t>
        </is>
      </c>
      <c r="C17" s="19" t="inlineStr">
        <is>
          <t>P000005</t>
        </is>
      </c>
      <c r="D17" s="19" t="inlineStr">
        <is>
          <t>LOT0041</t>
        </is>
      </c>
      <c r="E17" s="21" t="n">
        <v>46270</v>
      </c>
      <c r="F17" s="19" t="n"/>
      <c r="G17" s="21" t="n">
        <v>46157</v>
      </c>
      <c r="H17" s="19" t="inlineStr">
        <is>
          <t>LOC0003</t>
        </is>
      </c>
      <c r="I17" s="19" t="inlineStr">
        <is>
          <t>Available</t>
        </is>
      </c>
      <c r="J17" s="19" t="n"/>
      <c r="K17" s="19" t="n"/>
      <c r="L17" s="19" t="n"/>
      <c r="M17" s="19" t="inlineStr">
        <is>
          <t>Tris reagent (band 60)</t>
        </is>
      </c>
      <c r="N17">
        <f>VALUE(SUBSTITUTE(A17,"C",""))</f>
        <v/>
      </c>
      <c r="O17">
        <f>VALUE(B17)</f>
        <v/>
      </c>
    </row>
    <row r="18">
      <c r="A18" s="19" t="inlineStr">
        <is>
          <t>C000014</t>
        </is>
      </c>
      <c r="B18" s="20" t="inlineStr">
        <is>
          <t>0000014</t>
        </is>
      </c>
      <c r="C18" s="19" t="inlineStr">
        <is>
          <t>P000005</t>
        </is>
      </c>
      <c r="D18" s="19" t="inlineStr">
        <is>
          <t>LOT0042</t>
        </is>
      </c>
      <c r="E18" s="21" t="n">
        <v>46204</v>
      </c>
      <c r="F18" s="19" t="n"/>
      <c r="G18" s="21" t="n">
        <v>46042</v>
      </c>
      <c r="H18" s="19" t="inlineStr">
        <is>
          <t>LOC0003</t>
        </is>
      </c>
      <c r="I18" s="19" t="inlineStr">
        <is>
          <t>Expired</t>
        </is>
      </c>
      <c r="J18" s="19" t="n"/>
      <c r="K18" s="21" t="n">
        <v>46205</v>
      </c>
      <c r="L18" s="19" t="inlineStr">
        <is>
          <t>Expired</t>
        </is>
      </c>
      <c r="M18" s="19" t="inlineStr">
        <is>
          <t>Tris reagent expired</t>
        </is>
      </c>
      <c r="N18">
        <f>VALUE(SUBSTITUTE(A18,"C",""))</f>
        <v/>
      </c>
      <c r="O18">
        <f>VALUE(B18)</f>
        <v/>
      </c>
    </row>
    <row r="19">
      <c r="A19" s="19" t="inlineStr">
        <is>
          <t>C000015</t>
        </is>
      </c>
      <c r="B19" s="20" t="inlineStr">
        <is>
          <t>0000015</t>
        </is>
      </c>
      <c r="C19" s="19" t="inlineStr">
        <is>
          <t>P000006</t>
        </is>
      </c>
      <c r="D19" s="19" t="inlineStr">
        <is>
          <t>LOT0050</t>
        </is>
      </c>
      <c r="E19" s="19" t="n"/>
      <c r="F19" s="19" t="n"/>
      <c r="G19" s="21" t="n">
        <v>46113</v>
      </c>
      <c r="H19" s="19" t="inlineStr">
        <is>
          <t>LOC0004</t>
        </is>
      </c>
      <c r="I19" s="19" t="inlineStr">
        <is>
          <t>Available</t>
        </is>
      </c>
      <c r="J19" s="19" t="n"/>
      <c r="K19" s="19" t="n"/>
      <c r="L19" s="19" t="n"/>
      <c r="M19" s="19" t="inlineStr">
        <is>
          <t>Gloves box 1</t>
        </is>
      </c>
      <c r="N19">
        <f>VALUE(SUBSTITUTE(A19,"C",""))</f>
        <v/>
      </c>
      <c r="O19">
        <f>VALUE(B19)</f>
        <v/>
      </c>
    </row>
    <row r="20">
      <c r="A20" s="19" t="inlineStr">
        <is>
          <t>C000016</t>
        </is>
      </c>
      <c r="B20" s="20" t="inlineStr">
        <is>
          <t>0000016</t>
        </is>
      </c>
      <c r="C20" s="19" t="inlineStr">
        <is>
          <t>P000006</t>
        </is>
      </c>
      <c r="D20" s="19" t="inlineStr">
        <is>
          <t>LOT0050</t>
        </is>
      </c>
      <c r="E20" s="19" t="n"/>
      <c r="F20" s="19" t="n"/>
      <c r="G20" s="21" t="n">
        <v>46113</v>
      </c>
      <c r="H20" s="19" t="inlineStr">
        <is>
          <t>LOC0004</t>
        </is>
      </c>
      <c r="I20" s="19" t="inlineStr">
        <is>
          <t>Available</t>
        </is>
      </c>
      <c r="J20" s="19" t="n"/>
      <c r="K20" s="19" t="n"/>
      <c r="L20" s="19" t="n"/>
      <c r="M20" s="19" t="inlineStr">
        <is>
          <t>Gloves box 2</t>
        </is>
      </c>
      <c r="N20">
        <f>VALUE(SUBSTITUTE(A20,"C",""))</f>
        <v/>
      </c>
      <c r="O20">
        <f>VALUE(B20)</f>
        <v/>
      </c>
    </row>
    <row r="21">
      <c r="A21" s="19" t="inlineStr">
        <is>
          <t>C000017</t>
        </is>
      </c>
      <c r="B21" s="20" t="inlineStr">
        <is>
          <t>0000017</t>
        </is>
      </c>
      <c r="C21" s="19" t="inlineStr">
        <is>
          <t>P000006</t>
        </is>
      </c>
      <c r="D21" s="19" t="inlineStr">
        <is>
          <t>LOT0051</t>
        </is>
      </c>
      <c r="E21" s="19" t="n"/>
      <c r="F21" s="19" t="n"/>
      <c r="G21" s="21" t="n">
        <v>46213</v>
      </c>
      <c r="H21" s="19" t="inlineStr">
        <is>
          <t>LOC0004</t>
        </is>
      </c>
      <c r="I21" s="19" t="inlineStr">
        <is>
          <t>Disposed</t>
        </is>
      </c>
      <c r="J21" s="19" t="n"/>
      <c r="K21" s="21" t="n">
        <v>46214</v>
      </c>
      <c r="L21" s="19" t="inlineStr">
        <is>
          <t>Used Up</t>
        </is>
      </c>
      <c r="M21" s="19" t="inlineStr">
        <is>
          <t>Gloves box 3 disposed</t>
        </is>
      </c>
      <c r="N21">
        <f>VALUE(SUBSTITUTE(A21,"C",""))</f>
        <v/>
      </c>
      <c r="O21">
        <f>VALUE(B21)</f>
        <v/>
      </c>
    </row>
    <row r="22">
      <c r="A22" s="19" t="inlineStr">
        <is>
          <t>C000018</t>
        </is>
      </c>
      <c r="B22" s="20" t="inlineStr">
        <is>
          <t>0000018</t>
        </is>
      </c>
      <c r="C22" s="19" t="inlineStr">
        <is>
          <t>P000003</t>
        </is>
      </c>
      <c r="D22" s="19" t="inlineStr">
        <is>
          <t>LOT0022</t>
        </is>
      </c>
      <c r="E22" s="21" t="n">
        <v>46568</v>
      </c>
      <c r="F22" s="19" t="n"/>
      <c r="G22" s="21" t="n">
        <v>46244</v>
      </c>
      <c r="H22" s="19" t="inlineStr">
        <is>
          <t>LOC0001</t>
        </is>
      </c>
      <c r="I22" s="19" t="inlineStr">
        <is>
          <t>Available</t>
        </is>
      </c>
      <c r="J22" s="19" t="n"/>
      <c r="K22" s="19" t="n"/>
      <c r="L22" s="19" t="n"/>
      <c r="M22" s="19" t="inlineStr">
        <is>
          <t>Ethanol bottle D</t>
        </is>
      </c>
      <c r="N22">
        <f>VALUE(SUBSTITUTE(A22,"C",""))</f>
        <v/>
      </c>
      <c r="O22">
        <f>VALUE(B22)</f>
        <v/>
      </c>
    </row>
    <row r="23">
      <c r="A23" s="19" t="inlineStr">
        <is>
          <t>C000019</t>
        </is>
      </c>
      <c r="B23" s="20" t="inlineStr">
        <is>
          <t>0000019</t>
        </is>
      </c>
      <c r="C23" s="19" t="inlineStr">
        <is>
          <t>P000002</t>
        </is>
      </c>
      <c r="D23" s="19" t="inlineStr">
        <is>
          <t>LOT0012</t>
        </is>
      </c>
      <c r="E23" s="19" t="n"/>
      <c r="F23" s="19" t="n"/>
      <c r="G23" s="21" t="n">
        <v>46246</v>
      </c>
      <c r="H23" s="19" t="inlineStr">
        <is>
          <t>LOC0004</t>
        </is>
      </c>
      <c r="I23" s="19" t="inlineStr">
        <is>
          <t>Available</t>
        </is>
      </c>
      <c r="J23" s="19" t="n"/>
      <c r="K23" s="19" t="n"/>
      <c r="L23" s="19" t="n"/>
      <c r="M23" s="19" t="inlineStr">
        <is>
          <t>Tubes box 4 (Available, no expiry)</t>
        </is>
      </c>
      <c r="N23">
        <f>VALUE(SUBSTITUTE(A23,"C",""))</f>
        <v/>
      </c>
      <c r="O23">
        <f>VALUE(B23)</f>
        <v/>
      </c>
    </row>
    <row r="24">
      <c r="A24" s="19" t="inlineStr">
        <is>
          <t>C000020</t>
        </is>
      </c>
      <c r="B24" s="20" t="inlineStr">
        <is>
          <t>0000020</t>
        </is>
      </c>
      <c r="C24" s="19" t="inlineStr">
        <is>
          <t>P000001</t>
        </is>
      </c>
      <c r="D24" s="19" t="inlineStr">
        <is>
          <t>LOT0003</t>
        </is>
      </c>
      <c r="E24" s="19" t="n"/>
      <c r="F24" s="19" t="n"/>
      <c r="G24" s="21" t="n">
        <v>46249</v>
      </c>
      <c r="H24" s="19" t="inlineStr">
        <is>
          <t>LOC0004</t>
        </is>
      </c>
      <c r="I24" s="19" t="inlineStr">
        <is>
          <t>Missing</t>
        </is>
      </c>
      <c r="J24" s="19" t="n"/>
      <c r="K24" s="19" t="n"/>
      <c r="L24" s="19" t="inlineStr">
        <is>
          <t>Missing</t>
        </is>
      </c>
      <c r="M24" s="19" t="inlineStr">
        <is>
          <t>Tips box 4 missing</t>
        </is>
      </c>
      <c r="N24">
        <f>VALUE(SUBSTITUTE(A24,"C",""))</f>
        <v/>
      </c>
      <c r="O24">
        <f>VALUE(B24)</f>
        <v/>
      </c>
    </row>
    <row r="25">
      <c r="A25" s="19" t="inlineStr">
        <is>
          <t>C000021</t>
        </is>
      </c>
      <c r="B25" s="20" t="inlineStr">
        <is>
          <t>0000021</t>
        </is>
      </c>
      <c r="C25" s="19" t="inlineStr">
        <is>
          <t>P000005</t>
        </is>
      </c>
      <c r="D25" s="19" t="inlineStr">
        <is>
          <t>LOT0043</t>
        </is>
      </c>
      <c r="E25" s="21" t="n">
        <v>46244</v>
      </c>
      <c r="F25" s="19" t="n"/>
      <c r="G25" s="21" t="n">
        <v>46218</v>
      </c>
      <c r="H25" s="19" t="inlineStr">
        <is>
          <t>LOC0003</t>
        </is>
      </c>
      <c r="I25" s="19" t="inlineStr">
        <is>
          <t>Available</t>
        </is>
      </c>
      <c r="J25" s="19" t="n"/>
      <c r="K25" s="19" t="n"/>
      <c r="L25" s="19" t="n"/>
      <c r="M25" s="19" t="inlineStr">
        <is>
          <t>Tris reagent expired-by-date but NOT yet MarkExpired (D-018 boundary)</t>
        </is>
      </c>
      <c r="N25">
        <f>VALUE(SUBSTITUTE(A25,"C",""))</f>
        <v/>
      </c>
      <c r="O25">
        <f>VALUE(B25)</f>
        <v/>
      </c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</row>
    <row r="7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</row>
    <row r="75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</row>
    <row r="77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</row>
    <row r="93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</row>
    <row r="95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</row>
    <row r="10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</row>
    <row r="102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</row>
    <row r="104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</row>
    <row r="105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</row>
    <row r="10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</row>
    <row r="107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</row>
    <row r="10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</row>
    <row r="10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</row>
    <row r="110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</row>
    <row r="11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</row>
    <row r="112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</row>
    <row r="113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</row>
    <row r="114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</row>
    <row r="115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</row>
    <row r="11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</row>
    <row r="997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</row>
    <row r="998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</row>
    <row r="99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</row>
    <row r="1000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</row>
    <row r="1001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</row>
    <row r="1002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</row>
    <row r="1003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</row>
    <row r="1004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</row>
    <row r="1005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</row>
    <row r="1006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</row>
    <row r="1007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</row>
    <row r="1008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</row>
    <row r="100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</row>
    <row r="1010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</row>
    <row r="1011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</row>
    <row r="1012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</row>
    <row r="1013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</row>
    <row r="1014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</row>
    <row r="1015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</row>
    <row r="1016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</row>
    <row r="1017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</row>
    <row r="1018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</row>
    <row r="101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</row>
    <row r="1020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</row>
    <row r="1021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</row>
    <row r="1022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</row>
    <row r="1023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</row>
    <row r="1024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</row>
    <row r="1025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</row>
    <row r="1026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</row>
    <row r="1027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</row>
    <row r="1028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</row>
    <row r="102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</row>
    <row r="1030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</row>
    <row r="1031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</row>
    <row r="1032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</row>
    <row r="1033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</row>
    <row r="1034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</row>
    <row r="1035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</row>
    <row r="1036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</row>
    <row r="1037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</row>
    <row r="1038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</row>
    <row r="10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</row>
    <row r="1040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</row>
    <row r="1041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</row>
    <row r="1042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</row>
    <row r="1043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</row>
    <row r="1044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</row>
    <row r="1045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</row>
    <row r="1046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</row>
    <row r="1047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</row>
    <row r="1048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</row>
    <row r="104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</row>
    <row r="1050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</row>
    <row r="1051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</row>
    <row r="1052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</row>
    <row r="1053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</row>
    <row r="1054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</row>
    <row r="1055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</row>
    <row r="1056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</row>
    <row r="1057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</row>
    <row r="1058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</row>
    <row r="105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</row>
    <row r="1060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</row>
    <row r="1061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</row>
    <row r="1062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</row>
    <row r="1063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</row>
    <row r="1064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</row>
    <row r="1065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</row>
    <row r="1066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</row>
    <row r="1067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</row>
    <row r="1068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</row>
    <row r="106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</row>
    <row r="1070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</row>
    <row r="1071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</row>
    <row r="1072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</row>
    <row r="1073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</row>
    <row r="1074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</row>
    <row r="1075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</row>
    <row r="1076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</row>
    <row r="1077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</row>
    <row r="1078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</row>
    <row r="107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</row>
    <row r="1080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</row>
    <row r="1081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</row>
    <row r="1082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</row>
    <row r="1083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</row>
    <row r="1084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</row>
    <row r="1085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</row>
    <row r="1086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</row>
    <row r="1087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</row>
    <row r="1088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</row>
    <row r="108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</row>
    <row r="1090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</row>
    <row r="1091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</row>
    <row r="1092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</row>
    <row r="1093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</row>
    <row r="1094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</row>
    <row r="1095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</row>
    <row r="1096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</row>
    <row r="1097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</row>
    <row r="1098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</row>
    <row r="109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</row>
    <row r="1100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</row>
    <row r="1101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</row>
    <row r="1102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</row>
    <row r="1103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</row>
    <row r="1104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</row>
    <row r="1105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</row>
    <row r="1106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</row>
    <row r="1107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</row>
    <row r="1108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</row>
    <row r="110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</row>
    <row r="1110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</row>
    <row r="1111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</row>
    <row r="1112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</row>
    <row r="1113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</row>
    <row r="1114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</row>
    <row r="1115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</row>
    <row r="1116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</row>
    <row r="1117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</row>
    <row r="1118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</row>
    <row r="111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</row>
    <row r="1120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</row>
    <row r="1121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</row>
    <row r="1122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</row>
    <row r="1123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</row>
    <row r="1124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</row>
    <row r="1125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</row>
    <row r="1126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</row>
    <row r="1127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</row>
    <row r="1128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</row>
    <row r="112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</row>
    <row r="1130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</row>
    <row r="1131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</row>
    <row r="1132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</row>
    <row r="1133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</row>
    <row r="1134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</row>
    <row r="1135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</row>
    <row r="1136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</row>
    <row r="1137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</row>
    <row r="1138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</row>
    <row r="11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</row>
    <row r="1140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</row>
    <row r="1141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</row>
    <row r="1142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</row>
    <row r="1143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</row>
    <row r="1144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</row>
    <row r="1145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</row>
    <row r="1146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</row>
    <row r="1147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</row>
    <row r="1148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</row>
    <row r="114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</row>
    <row r="1150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</row>
    <row r="1151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</row>
    <row r="1152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</row>
    <row r="1153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</row>
    <row r="1154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</row>
    <row r="1155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</row>
    <row r="1156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</row>
    <row r="1157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</row>
    <row r="1158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</row>
    <row r="115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</row>
    <row r="1160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</row>
    <row r="1161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</row>
    <row r="1162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</row>
    <row r="1163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</row>
    <row r="1164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</row>
    <row r="1165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</row>
    <row r="1166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</row>
    <row r="1167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</row>
    <row r="1168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</row>
    <row r="116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</row>
    <row r="1170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</row>
    <row r="1171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</row>
    <row r="1172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</row>
    <row r="1173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</row>
    <row r="1174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</row>
    <row r="1175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</row>
    <row r="1176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</row>
    <row r="1177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</row>
    <row r="1178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</row>
    <row r="117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</row>
    <row r="1180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</row>
    <row r="1181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</row>
    <row r="1182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</row>
    <row r="1183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</row>
    <row r="1184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</row>
    <row r="1185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</row>
    <row r="1186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</row>
    <row r="1187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</row>
    <row r="1188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</row>
    <row r="118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</row>
    <row r="1190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</row>
    <row r="1191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</row>
    <row r="1192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</row>
    <row r="1193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</row>
    <row r="1194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</row>
    <row r="1195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</row>
    <row r="1196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</row>
    <row r="1197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</row>
    <row r="1198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</row>
    <row r="119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</row>
    <row r="1200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</row>
    <row r="1201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</row>
    <row r="1202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</row>
    <row r="1203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</row>
    <row r="1204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</row>
    <row r="1205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</row>
    <row r="1206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</row>
    <row r="1207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</row>
    <row r="1208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</row>
    <row r="120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</row>
    <row r="1210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</row>
    <row r="1211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</row>
    <row r="1212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</row>
    <row r="1213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</row>
    <row r="1214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</row>
    <row r="1215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</row>
    <row r="1216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</row>
    <row r="1217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</row>
    <row r="1218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</row>
    <row r="121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</row>
    <row r="1220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</row>
    <row r="1221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</row>
    <row r="1222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</row>
    <row r="1223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</row>
    <row r="1224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</row>
    <row r="1225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</row>
    <row r="1226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</row>
    <row r="1227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</row>
    <row r="1228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</row>
    <row r="122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</row>
    <row r="1230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</row>
    <row r="1231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</row>
    <row r="1232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</row>
    <row r="1233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</row>
    <row r="1234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</row>
    <row r="1235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</row>
    <row r="1236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</row>
    <row r="1237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</row>
    <row r="1238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</row>
    <row r="12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</row>
    <row r="1240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</row>
    <row r="1241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</row>
    <row r="1242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</row>
    <row r="1243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</row>
    <row r="1244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</row>
    <row r="1245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</row>
    <row r="1246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</row>
    <row r="1247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</row>
    <row r="1248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</row>
    <row r="124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</row>
    <row r="1250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</row>
    <row r="1251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</row>
    <row r="1252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</row>
    <row r="1253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</row>
    <row r="1254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</row>
    <row r="1255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</row>
    <row r="1256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</row>
    <row r="1257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</row>
    <row r="1258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</row>
    <row r="125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</row>
    <row r="1260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</row>
    <row r="1261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</row>
    <row r="1262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</row>
    <row r="1263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</row>
    <row r="1264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</row>
    <row r="1265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</row>
    <row r="1266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</row>
    <row r="1267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</row>
    <row r="1268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</row>
    <row r="126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</row>
    <row r="1270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</row>
    <row r="1271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</row>
    <row r="1272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</row>
    <row r="1273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</row>
    <row r="1274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</row>
    <row r="1275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</row>
    <row r="1276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</row>
    <row r="1277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</row>
    <row r="1278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</row>
    <row r="127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</row>
    <row r="1280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</row>
    <row r="1281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</row>
    <row r="1282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</row>
    <row r="1283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</row>
    <row r="1284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</row>
    <row r="1285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</row>
    <row r="1286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</row>
    <row r="1287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</row>
    <row r="1288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</row>
    <row r="128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</row>
    <row r="1290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</row>
    <row r="1291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</row>
    <row r="1292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</row>
    <row r="1293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</row>
    <row r="1294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</row>
    <row r="1295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</row>
    <row r="1296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</row>
    <row r="1297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</row>
    <row r="1298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</row>
    <row r="129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</row>
    <row r="1300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</row>
    <row r="1301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</row>
    <row r="1302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</row>
    <row r="1303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</row>
    <row r="1304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</row>
    <row r="1305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</row>
    <row r="1306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</row>
    <row r="1307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</row>
    <row r="1308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</row>
    <row r="130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</row>
    <row r="1310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</row>
    <row r="1311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</row>
    <row r="1312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</row>
    <row r="1313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</row>
    <row r="1314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</row>
    <row r="1315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</row>
    <row r="1316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</row>
    <row r="1317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</row>
    <row r="1318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</row>
    <row r="131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</row>
    <row r="1320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</row>
    <row r="1321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</row>
    <row r="1322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</row>
    <row r="1323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</row>
    <row r="1324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</row>
    <row r="1325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</row>
    <row r="1326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</row>
    <row r="1327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</row>
    <row r="1328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</row>
    <row r="132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</row>
    <row r="1330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</row>
    <row r="1331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</row>
    <row r="1332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</row>
    <row r="1333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</row>
    <row r="1334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</row>
    <row r="1335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</row>
    <row r="1336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</row>
    <row r="1337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</row>
    <row r="1338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</row>
    <row r="13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</row>
    <row r="1340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</row>
    <row r="1341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</row>
    <row r="1342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</row>
    <row r="1343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</row>
    <row r="1344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</row>
    <row r="1345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</row>
    <row r="1346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</row>
    <row r="1347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</row>
    <row r="1348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</row>
    <row r="134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</row>
    <row r="1350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</row>
    <row r="1351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</row>
    <row r="1352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</row>
    <row r="1353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</row>
    <row r="1354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</row>
    <row r="1355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</row>
    <row r="1356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</row>
    <row r="1357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</row>
    <row r="1358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</row>
    <row r="135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</row>
    <row r="1360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</row>
    <row r="1361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</row>
    <row r="1362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</row>
    <row r="1363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</row>
    <row r="1364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</row>
    <row r="1365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</row>
    <row r="1366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</row>
    <row r="1367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</row>
    <row r="1368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</row>
    <row r="136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</row>
    <row r="1370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</row>
    <row r="1371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</row>
    <row r="1372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</row>
    <row r="1373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</row>
    <row r="1374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</row>
    <row r="1375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</row>
    <row r="1376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</row>
    <row r="1377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</row>
    <row r="1378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</row>
    <row r="137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</row>
    <row r="1380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</row>
    <row r="1381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</row>
    <row r="1382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</row>
    <row r="1383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</row>
    <row r="1384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</row>
    <row r="1385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</row>
    <row r="1386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</row>
    <row r="1387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</row>
    <row r="1388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</row>
    <row r="138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</row>
    <row r="1390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</row>
    <row r="1391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</row>
    <row r="1392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</row>
    <row r="1393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</row>
    <row r="1394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</row>
    <row r="1395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</row>
    <row r="1396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</row>
    <row r="1397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</row>
    <row r="1398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</row>
    <row r="139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</row>
    <row r="1400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</row>
    <row r="1401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</row>
    <row r="1402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</row>
    <row r="1403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</row>
    <row r="1404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</row>
    <row r="1405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</row>
    <row r="1406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</row>
    <row r="1407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</row>
    <row r="1408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</row>
    <row r="140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</row>
    <row r="1410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</row>
    <row r="1411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</row>
    <row r="1412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</row>
    <row r="1413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</row>
    <row r="1414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</row>
    <row r="1415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</row>
    <row r="1416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</row>
    <row r="1417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</row>
    <row r="1418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</row>
    <row r="141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</row>
    <row r="1420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</row>
    <row r="1421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</row>
    <row r="1422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</row>
    <row r="1423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</row>
    <row r="1424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</row>
    <row r="1425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</row>
    <row r="1426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</row>
    <row r="1427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</row>
    <row r="1428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</row>
    <row r="142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</row>
    <row r="1430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</row>
    <row r="1431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</row>
    <row r="1432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</row>
    <row r="1433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</row>
    <row r="1434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</row>
    <row r="1435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</row>
    <row r="1436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</row>
    <row r="1437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</row>
    <row r="1438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</row>
    <row r="14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</row>
    <row r="1440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</row>
    <row r="1441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</row>
    <row r="1442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</row>
    <row r="1443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</row>
    <row r="1444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</row>
    <row r="1445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</row>
    <row r="1446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</row>
    <row r="1447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</row>
    <row r="1448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</row>
    <row r="144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</row>
    <row r="1450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</row>
    <row r="1451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</row>
    <row r="1452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</row>
    <row r="1453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</row>
    <row r="1454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</row>
    <row r="1455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</row>
    <row r="1456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</row>
    <row r="1457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</row>
    <row r="1458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</row>
    <row r="145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</row>
    <row r="1460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</row>
    <row r="1461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</row>
    <row r="1462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</row>
    <row r="1463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</row>
    <row r="1464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</row>
    <row r="1465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</row>
    <row r="1466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</row>
    <row r="1467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</row>
    <row r="1468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</row>
    <row r="146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</row>
    <row r="1470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</row>
    <row r="1471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</row>
    <row r="1472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</row>
    <row r="1473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</row>
    <row r="1474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</row>
    <row r="1475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</row>
    <row r="1476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</row>
    <row r="1477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</row>
    <row r="1478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</row>
    <row r="147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</row>
    <row r="1480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</row>
    <row r="1481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</row>
    <row r="1482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</row>
    <row r="1483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</row>
    <row r="1484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</row>
    <row r="1485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</row>
    <row r="1486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</row>
    <row r="1487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</row>
    <row r="1488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</row>
    <row r="148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</row>
    <row r="1490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</row>
    <row r="1491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</row>
    <row r="1492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</row>
    <row r="1493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</row>
    <row r="1494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</row>
    <row r="1495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</row>
    <row r="1496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</row>
    <row r="1497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</row>
    <row r="1498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</row>
    <row r="1499">
      <c r="A1499" s="19" t="n"/>
      <c r="B1499" s="19" t="n"/>
      <c r="C1499" s="19" t="n"/>
      <c r="D1499" s="19" t="n"/>
      <c r="E1499" s="19" t="n"/>
      <c r="F1499" s="19" t="n"/>
      <c r="G1499" s="19" t="n"/>
      <c r="H1499" s="19" t="n"/>
      <c r="I1499" s="19" t="n"/>
      <c r="J1499" s="19" t="n"/>
      <c r="K1499" s="19" t="n"/>
      <c r="L1499" s="19" t="n"/>
      <c r="M1499" s="19" t="n"/>
    </row>
    <row r="1500">
      <c r="A1500" s="19" t="n"/>
      <c r="B1500" s="19" t="n"/>
      <c r="C1500" s="19" t="n"/>
      <c r="D1500" s="19" t="n"/>
      <c r="E1500" s="19" t="n"/>
      <c r="F1500" s="19" t="n"/>
      <c r="G1500" s="19" t="n"/>
      <c r="H1500" s="19" t="n"/>
      <c r="I1500" s="19" t="n"/>
      <c r="J1500" s="19" t="n"/>
      <c r="K1500" s="19" t="n"/>
      <c r="L1500" s="19" t="n"/>
      <c r="M1500" s="19" t="n"/>
    </row>
    <row r="1501">
      <c r="A1501" s="19" t="n"/>
      <c r="B1501" s="19" t="n"/>
      <c r="C1501" s="19" t="n"/>
      <c r="D1501" s="19" t="n"/>
      <c r="E1501" s="19" t="n"/>
      <c r="F1501" s="19" t="n"/>
      <c r="G1501" s="19" t="n"/>
      <c r="H1501" s="19" t="n"/>
      <c r="I1501" s="19" t="n"/>
      <c r="J1501" s="19" t="n"/>
      <c r="K1501" s="19" t="n"/>
      <c r="L1501" s="19" t="n"/>
      <c r="M1501" s="19" t="n"/>
    </row>
    <row r="1502">
      <c r="A1502" s="19" t="n"/>
      <c r="B1502" s="19" t="n"/>
      <c r="C1502" s="19" t="n"/>
      <c r="D1502" s="19" t="n"/>
      <c r="E1502" s="19" t="n"/>
      <c r="F1502" s="19" t="n"/>
      <c r="G1502" s="19" t="n"/>
      <c r="H1502" s="19" t="n"/>
      <c r="I1502" s="19" t="n"/>
      <c r="J1502" s="19" t="n"/>
      <c r="K1502" s="19" t="n"/>
      <c r="L1502" s="19" t="n"/>
      <c r="M1502" s="19" t="n"/>
    </row>
    <row r="1503">
      <c r="A1503" s="19" t="n"/>
      <c r="B1503" s="19" t="n"/>
      <c r="C1503" s="19" t="n"/>
      <c r="D1503" s="19" t="n"/>
      <c r="E1503" s="19" t="n"/>
      <c r="F1503" s="19" t="n"/>
      <c r="G1503" s="19" t="n"/>
      <c r="H1503" s="19" t="n"/>
      <c r="I1503" s="19" t="n"/>
      <c r="J1503" s="19" t="n"/>
      <c r="K1503" s="19" t="n"/>
      <c r="L1503" s="19" t="n"/>
      <c r="M1503" s="19" t="n"/>
    </row>
    <row r="1504">
      <c r="A1504" s="19" t="n"/>
      <c r="B1504" s="19" t="n"/>
      <c r="C1504" s="19" t="n"/>
      <c r="D1504" s="19" t="n"/>
      <c r="E1504" s="19" t="n"/>
      <c r="F1504" s="19" t="n"/>
      <c r="G1504" s="19" t="n"/>
      <c r="H1504" s="19" t="n"/>
      <c r="I1504" s="19" t="n"/>
      <c r="J1504" s="19" t="n"/>
      <c r="K1504" s="19" t="n"/>
      <c r="L1504" s="19" t="n"/>
      <c r="M1504" s="19" t="n"/>
    </row>
    <row r="1505">
      <c r="A1505" s="19" t="n"/>
      <c r="B1505" s="19" t="n"/>
      <c r="C1505" s="19" t="n"/>
      <c r="D1505" s="19" t="n"/>
      <c r="E1505" s="19" t="n"/>
      <c r="F1505" s="19" t="n"/>
      <c r="G1505" s="19" t="n"/>
      <c r="H1505" s="19" t="n"/>
      <c r="I1505" s="19" t="n"/>
      <c r="J1505" s="19" t="n"/>
      <c r="K1505" s="19" t="n"/>
      <c r="L1505" s="19" t="n"/>
      <c r="M1505" s="19" t="n"/>
    </row>
    <row r="1506">
      <c r="A1506" s="19" t="n"/>
      <c r="B1506" s="19" t="n"/>
      <c r="C1506" s="19" t="n"/>
      <c r="D1506" s="19" t="n"/>
      <c r="E1506" s="19" t="n"/>
      <c r="F1506" s="19" t="n"/>
      <c r="G1506" s="19" t="n"/>
      <c r="H1506" s="19" t="n"/>
      <c r="I1506" s="19" t="n"/>
      <c r="J1506" s="19" t="n"/>
      <c r="K1506" s="19" t="n"/>
      <c r="L1506" s="19" t="n"/>
      <c r="M1506" s="19" t="n"/>
    </row>
    <row r="1507">
      <c r="A1507" s="19" t="n"/>
      <c r="B1507" s="19" t="n"/>
      <c r="C1507" s="19" t="n"/>
      <c r="D1507" s="19" t="n"/>
      <c r="E1507" s="19" t="n"/>
      <c r="F1507" s="19" t="n"/>
      <c r="G1507" s="19" t="n"/>
      <c r="H1507" s="19" t="n"/>
      <c r="I1507" s="19" t="n"/>
      <c r="J1507" s="19" t="n"/>
      <c r="K1507" s="19" t="n"/>
      <c r="L1507" s="19" t="n"/>
      <c r="M1507" s="19" t="n"/>
    </row>
    <row r="1508">
      <c r="A1508" s="19" t="n"/>
      <c r="B1508" s="19" t="n"/>
      <c r="C1508" s="19" t="n"/>
      <c r="D1508" s="19" t="n"/>
      <c r="E1508" s="19" t="n"/>
      <c r="F1508" s="19" t="n"/>
      <c r="G1508" s="19" t="n"/>
      <c r="H1508" s="19" t="n"/>
      <c r="I1508" s="19" t="n"/>
      <c r="J1508" s="19" t="n"/>
      <c r="K1508" s="19" t="n"/>
      <c r="L1508" s="19" t="n"/>
      <c r="M1508" s="19" t="n"/>
    </row>
    <row r="1509">
      <c r="A1509" s="19" t="n"/>
      <c r="B1509" s="19" t="n"/>
      <c r="C1509" s="19" t="n"/>
      <c r="D1509" s="19" t="n"/>
      <c r="E1509" s="19" t="n"/>
      <c r="F1509" s="19" t="n"/>
      <c r="G1509" s="19" t="n"/>
      <c r="H1509" s="19" t="n"/>
      <c r="I1509" s="19" t="n"/>
      <c r="J1509" s="19" t="n"/>
      <c r="K1509" s="19" t="n"/>
      <c r="L1509" s="19" t="n"/>
      <c r="M1509" s="19" t="n"/>
    </row>
    <row r="1510">
      <c r="A1510" s="19" t="n"/>
      <c r="B1510" s="19" t="n"/>
      <c r="C1510" s="19" t="n"/>
      <c r="D1510" s="19" t="n"/>
      <c r="E1510" s="19" t="n"/>
      <c r="F1510" s="19" t="n"/>
      <c r="G1510" s="19" t="n"/>
      <c r="H1510" s="19" t="n"/>
      <c r="I1510" s="19" t="n"/>
      <c r="J1510" s="19" t="n"/>
      <c r="K1510" s="19" t="n"/>
      <c r="L1510" s="19" t="n"/>
      <c r="M1510" s="19" t="n"/>
    </row>
    <row r="1511">
      <c r="A1511" s="19" t="n"/>
      <c r="B1511" s="19" t="n"/>
      <c r="C1511" s="19" t="n"/>
      <c r="D1511" s="19" t="n"/>
      <c r="E1511" s="19" t="n"/>
      <c r="F1511" s="19" t="n"/>
      <c r="G1511" s="19" t="n"/>
      <c r="H1511" s="19" t="n"/>
      <c r="I1511" s="19" t="n"/>
      <c r="J1511" s="19" t="n"/>
      <c r="K1511" s="19" t="n"/>
      <c r="L1511" s="19" t="n"/>
      <c r="M1511" s="19" t="n"/>
    </row>
    <row r="1512">
      <c r="A1512" s="19" t="n"/>
      <c r="B1512" s="19" t="n"/>
      <c r="C1512" s="19" t="n"/>
      <c r="D1512" s="19" t="n"/>
      <c r="E1512" s="19" t="n"/>
      <c r="F1512" s="19" t="n"/>
      <c r="G1512" s="19" t="n"/>
      <c r="H1512" s="19" t="n"/>
      <c r="I1512" s="19" t="n"/>
      <c r="J1512" s="19" t="n"/>
      <c r="K1512" s="19" t="n"/>
      <c r="L1512" s="19" t="n"/>
      <c r="M1512" s="19" t="n"/>
    </row>
    <row r="1513">
      <c r="A1513" s="19" t="n"/>
      <c r="B1513" s="19" t="n"/>
      <c r="C1513" s="19" t="n"/>
      <c r="D1513" s="19" t="n"/>
      <c r="E1513" s="19" t="n"/>
      <c r="F1513" s="19" t="n"/>
      <c r="G1513" s="19" t="n"/>
      <c r="H1513" s="19" t="n"/>
      <c r="I1513" s="19" t="n"/>
      <c r="J1513" s="19" t="n"/>
      <c r="K1513" s="19" t="n"/>
      <c r="L1513" s="19" t="n"/>
      <c r="M1513" s="19" t="n"/>
    </row>
    <row r="1514">
      <c r="A1514" s="19" t="n"/>
      <c r="B1514" s="19" t="n"/>
      <c r="C1514" s="19" t="n"/>
      <c r="D1514" s="19" t="n"/>
      <c r="E1514" s="19" t="n"/>
      <c r="F1514" s="19" t="n"/>
      <c r="G1514" s="19" t="n"/>
      <c r="H1514" s="19" t="n"/>
      <c r="I1514" s="19" t="n"/>
      <c r="J1514" s="19" t="n"/>
      <c r="K1514" s="19" t="n"/>
      <c r="L1514" s="19" t="n"/>
      <c r="M1514" s="19" t="n"/>
    </row>
    <row r="1515">
      <c r="A1515" s="19" t="n"/>
      <c r="B1515" s="19" t="n"/>
      <c r="C1515" s="19" t="n"/>
      <c r="D1515" s="19" t="n"/>
      <c r="E1515" s="19" t="n"/>
      <c r="F1515" s="19" t="n"/>
      <c r="G1515" s="19" t="n"/>
      <c r="H1515" s="19" t="n"/>
      <c r="I1515" s="19" t="n"/>
      <c r="J1515" s="19" t="n"/>
      <c r="K1515" s="19" t="n"/>
      <c r="L1515" s="19" t="n"/>
      <c r="M1515" s="19" t="n"/>
    </row>
    <row r="1516">
      <c r="A1516" s="19" t="n"/>
      <c r="B1516" s="19" t="n"/>
      <c r="C1516" s="19" t="n"/>
      <c r="D1516" s="19" t="n"/>
      <c r="E1516" s="19" t="n"/>
      <c r="F1516" s="19" t="n"/>
      <c r="G1516" s="19" t="n"/>
      <c r="H1516" s="19" t="n"/>
      <c r="I1516" s="19" t="n"/>
      <c r="J1516" s="19" t="n"/>
      <c r="K1516" s="19" t="n"/>
      <c r="L1516" s="19" t="n"/>
      <c r="M1516" s="19" t="n"/>
    </row>
    <row r="1517">
      <c r="A1517" s="19" t="n"/>
      <c r="B1517" s="19" t="n"/>
      <c r="C1517" s="19" t="n"/>
      <c r="D1517" s="19" t="n"/>
      <c r="E1517" s="19" t="n"/>
      <c r="F1517" s="19" t="n"/>
      <c r="G1517" s="19" t="n"/>
      <c r="H1517" s="19" t="n"/>
      <c r="I1517" s="19" t="n"/>
      <c r="J1517" s="19" t="n"/>
      <c r="K1517" s="19" t="n"/>
      <c r="L1517" s="19" t="n"/>
      <c r="M1517" s="19" t="n"/>
    </row>
    <row r="1518">
      <c r="A1518" s="19" t="n"/>
      <c r="B1518" s="19" t="n"/>
      <c r="C1518" s="19" t="n"/>
      <c r="D1518" s="19" t="n"/>
      <c r="E1518" s="19" t="n"/>
      <c r="F1518" s="19" t="n"/>
      <c r="G1518" s="19" t="n"/>
      <c r="H1518" s="19" t="n"/>
      <c r="I1518" s="19" t="n"/>
      <c r="J1518" s="19" t="n"/>
      <c r="K1518" s="19" t="n"/>
      <c r="L1518" s="19" t="n"/>
      <c r="M1518" s="19" t="n"/>
    </row>
    <row r="1519">
      <c r="A1519" s="19" t="n"/>
      <c r="B1519" s="19" t="n"/>
      <c r="C1519" s="19" t="n"/>
      <c r="D1519" s="19" t="n"/>
      <c r="E1519" s="19" t="n"/>
      <c r="F1519" s="19" t="n"/>
      <c r="G1519" s="19" t="n"/>
      <c r="H1519" s="19" t="n"/>
      <c r="I1519" s="19" t="n"/>
      <c r="J1519" s="19" t="n"/>
      <c r="K1519" s="19" t="n"/>
      <c r="L1519" s="19" t="n"/>
      <c r="M1519" s="19" t="n"/>
    </row>
    <row r="1520">
      <c r="A1520" s="19" t="n"/>
      <c r="B1520" s="19" t="n"/>
      <c r="C1520" s="19" t="n"/>
      <c r="D1520" s="19" t="n"/>
      <c r="E1520" s="19" t="n"/>
      <c r="F1520" s="19" t="n"/>
      <c r="G1520" s="19" t="n"/>
      <c r="H1520" s="19" t="n"/>
      <c r="I1520" s="19" t="n"/>
      <c r="J1520" s="19" t="n"/>
      <c r="K1520" s="19" t="n"/>
      <c r="L1520" s="19" t="n"/>
      <c r="M1520" s="19" t="n"/>
    </row>
    <row r="1521">
      <c r="A1521" s="19" t="n"/>
      <c r="B1521" s="19" t="n"/>
      <c r="C1521" s="19" t="n"/>
      <c r="D1521" s="19" t="n"/>
      <c r="E1521" s="19" t="n"/>
      <c r="F1521" s="19" t="n"/>
      <c r="G1521" s="19" t="n"/>
      <c r="H1521" s="19" t="n"/>
      <c r="I1521" s="19" t="n"/>
      <c r="J1521" s="19" t="n"/>
      <c r="K1521" s="19" t="n"/>
      <c r="L1521" s="19" t="n"/>
      <c r="M1521" s="19" t="n"/>
    </row>
    <row r="1522">
      <c r="A1522" s="19" t="n"/>
      <c r="B1522" s="19" t="n"/>
      <c r="C1522" s="19" t="n"/>
      <c r="D1522" s="19" t="n"/>
      <c r="E1522" s="19" t="n"/>
      <c r="F1522" s="19" t="n"/>
      <c r="G1522" s="19" t="n"/>
      <c r="H1522" s="19" t="n"/>
      <c r="I1522" s="19" t="n"/>
      <c r="J1522" s="19" t="n"/>
      <c r="K1522" s="19" t="n"/>
      <c r="L1522" s="19" t="n"/>
      <c r="M1522" s="19" t="n"/>
    </row>
    <row r="1523">
      <c r="A1523" s="19" t="n"/>
      <c r="B1523" s="19" t="n"/>
      <c r="C1523" s="19" t="n"/>
      <c r="D1523" s="19" t="n"/>
      <c r="E1523" s="19" t="n"/>
      <c r="F1523" s="19" t="n"/>
      <c r="G1523" s="19" t="n"/>
      <c r="H1523" s="19" t="n"/>
      <c r="I1523" s="19" t="n"/>
      <c r="J1523" s="19" t="n"/>
      <c r="K1523" s="19" t="n"/>
      <c r="L1523" s="19" t="n"/>
      <c r="M1523" s="19" t="n"/>
    </row>
    <row r="1524">
      <c r="A1524" s="19" t="n"/>
      <c r="B1524" s="19" t="n"/>
      <c r="C1524" s="19" t="n"/>
      <c r="D1524" s="19" t="n"/>
      <c r="E1524" s="19" t="n"/>
      <c r="F1524" s="19" t="n"/>
      <c r="G1524" s="19" t="n"/>
      <c r="H1524" s="19" t="n"/>
      <c r="I1524" s="19" t="n"/>
      <c r="J1524" s="19" t="n"/>
      <c r="K1524" s="19" t="n"/>
      <c r="L1524" s="19" t="n"/>
      <c r="M1524" s="19" t="n"/>
    </row>
    <row r="1525">
      <c r="A1525" s="19" t="n"/>
      <c r="B1525" s="19" t="n"/>
      <c r="C1525" s="19" t="n"/>
      <c r="D1525" s="19" t="n"/>
      <c r="E1525" s="19" t="n"/>
      <c r="F1525" s="19" t="n"/>
      <c r="G1525" s="19" t="n"/>
      <c r="H1525" s="19" t="n"/>
      <c r="I1525" s="19" t="n"/>
      <c r="J1525" s="19" t="n"/>
      <c r="K1525" s="19" t="n"/>
      <c r="L1525" s="19" t="n"/>
      <c r="M1525" s="19" t="n"/>
    </row>
    <row r="1526">
      <c r="A1526" s="19" t="n"/>
      <c r="B1526" s="19" t="n"/>
      <c r="C1526" s="19" t="n"/>
      <c r="D1526" s="19" t="n"/>
      <c r="E1526" s="19" t="n"/>
      <c r="F1526" s="19" t="n"/>
      <c r="G1526" s="19" t="n"/>
      <c r="H1526" s="19" t="n"/>
      <c r="I1526" s="19" t="n"/>
      <c r="J1526" s="19" t="n"/>
      <c r="K1526" s="19" t="n"/>
      <c r="L1526" s="19" t="n"/>
      <c r="M1526" s="19" t="n"/>
    </row>
    <row r="1527">
      <c r="A1527" s="19" t="n"/>
      <c r="B1527" s="19" t="n"/>
      <c r="C1527" s="19" t="n"/>
      <c r="D1527" s="19" t="n"/>
      <c r="E1527" s="19" t="n"/>
      <c r="F1527" s="19" t="n"/>
      <c r="G1527" s="19" t="n"/>
      <c r="H1527" s="19" t="n"/>
      <c r="I1527" s="19" t="n"/>
      <c r="J1527" s="19" t="n"/>
      <c r="K1527" s="19" t="n"/>
      <c r="L1527" s="19" t="n"/>
      <c r="M1527" s="19" t="n"/>
    </row>
    <row r="1528">
      <c r="A1528" s="19" t="n"/>
      <c r="B1528" s="19" t="n"/>
      <c r="C1528" s="19" t="n"/>
      <c r="D1528" s="19" t="n"/>
      <c r="E1528" s="19" t="n"/>
      <c r="F1528" s="19" t="n"/>
      <c r="G1528" s="19" t="n"/>
      <c r="H1528" s="19" t="n"/>
      <c r="I1528" s="19" t="n"/>
      <c r="J1528" s="19" t="n"/>
      <c r="K1528" s="19" t="n"/>
      <c r="L1528" s="19" t="n"/>
      <c r="M1528" s="19" t="n"/>
    </row>
    <row r="1529">
      <c r="A1529" s="19" t="n"/>
      <c r="B1529" s="19" t="n"/>
      <c r="C1529" s="19" t="n"/>
      <c r="D1529" s="19" t="n"/>
      <c r="E1529" s="19" t="n"/>
      <c r="F1529" s="19" t="n"/>
      <c r="G1529" s="19" t="n"/>
      <c r="H1529" s="19" t="n"/>
      <c r="I1529" s="19" t="n"/>
      <c r="J1529" s="19" t="n"/>
      <c r="K1529" s="19" t="n"/>
      <c r="L1529" s="19" t="n"/>
      <c r="M1529" s="19" t="n"/>
    </row>
    <row r="1530">
      <c r="A1530" s="19" t="n"/>
      <c r="B1530" s="19" t="n"/>
      <c r="C1530" s="19" t="n"/>
      <c r="D1530" s="19" t="n"/>
      <c r="E1530" s="19" t="n"/>
      <c r="F1530" s="19" t="n"/>
      <c r="G1530" s="19" t="n"/>
      <c r="H1530" s="19" t="n"/>
      <c r="I1530" s="19" t="n"/>
      <c r="J1530" s="19" t="n"/>
      <c r="K1530" s="19" t="n"/>
      <c r="L1530" s="19" t="n"/>
      <c r="M1530" s="19" t="n"/>
    </row>
    <row r="1531">
      <c r="A1531" s="19" t="n"/>
      <c r="B1531" s="19" t="n"/>
      <c r="C1531" s="19" t="n"/>
      <c r="D1531" s="19" t="n"/>
      <c r="E1531" s="19" t="n"/>
      <c r="F1531" s="19" t="n"/>
      <c r="G1531" s="19" t="n"/>
      <c r="H1531" s="19" t="n"/>
      <c r="I1531" s="19" t="n"/>
      <c r="J1531" s="19" t="n"/>
      <c r="K1531" s="19" t="n"/>
      <c r="L1531" s="19" t="n"/>
      <c r="M1531" s="19" t="n"/>
    </row>
    <row r="1532">
      <c r="A1532" s="19" t="n"/>
      <c r="B1532" s="19" t="n"/>
      <c r="C1532" s="19" t="n"/>
      <c r="D1532" s="19" t="n"/>
      <c r="E1532" s="19" t="n"/>
      <c r="F1532" s="19" t="n"/>
      <c r="G1532" s="19" t="n"/>
      <c r="H1532" s="19" t="n"/>
      <c r="I1532" s="19" t="n"/>
      <c r="J1532" s="19" t="n"/>
      <c r="K1532" s="19" t="n"/>
      <c r="L1532" s="19" t="n"/>
      <c r="M1532" s="19" t="n"/>
    </row>
    <row r="1533">
      <c r="A1533" s="19" t="n"/>
      <c r="B1533" s="19" t="n"/>
      <c r="C1533" s="19" t="n"/>
      <c r="D1533" s="19" t="n"/>
      <c r="E1533" s="19" t="n"/>
      <c r="F1533" s="19" t="n"/>
      <c r="G1533" s="19" t="n"/>
      <c r="H1533" s="19" t="n"/>
      <c r="I1533" s="19" t="n"/>
      <c r="J1533" s="19" t="n"/>
      <c r="K1533" s="19" t="n"/>
      <c r="L1533" s="19" t="n"/>
      <c r="M1533" s="19" t="n"/>
    </row>
    <row r="1534">
      <c r="A1534" s="19" t="n"/>
      <c r="B1534" s="19" t="n"/>
      <c r="C1534" s="19" t="n"/>
      <c r="D1534" s="19" t="n"/>
      <c r="E1534" s="19" t="n"/>
      <c r="F1534" s="19" t="n"/>
      <c r="G1534" s="19" t="n"/>
      <c r="H1534" s="19" t="n"/>
      <c r="I1534" s="19" t="n"/>
      <c r="J1534" s="19" t="n"/>
      <c r="K1534" s="19" t="n"/>
      <c r="L1534" s="19" t="n"/>
      <c r="M1534" s="19" t="n"/>
    </row>
    <row r="1535">
      <c r="A1535" s="19" t="n"/>
      <c r="B1535" s="19" t="n"/>
      <c r="C1535" s="19" t="n"/>
      <c r="D1535" s="19" t="n"/>
      <c r="E1535" s="19" t="n"/>
      <c r="F1535" s="19" t="n"/>
      <c r="G1535" s="19" t="n"/>
      <c r="H1535" s="19" t="n"/>
      <c r="I1535" s="19" t="n"/>
      <c r="J1535" s="19" t="n"/>
      <c r="K1535" s="19" t="n"/>
      <c r="L1535" s="19" t="n"/>
      <c r="M1535" s="19" t="n"/>
    </row>
    <row r="1536">
      <c r="A1536" s="19" t="n"/>
      <c r="B1536" s="19" t="n"/>
      <c r="C1536" s="19" t="n"/>
      <c r="D1536" s="19" t="n"/>
      <c r="E1536" s="19" t="n"/>
      <c r="F1536" s="19" t="n"/>
      <c r="G1536" s="19" t="n"/>
      <c r="H1536" s="19" t="n"/>
      <c r="I1536" s="19" t="n"/>
      <c r="J1536" s="19" t="n"/>
      <c r="K1536" s="19" t="n"/>
      <c r="L1536" s="19" t="n"/>
      <c r="M1536" s="19" t="n"/>
    </row>
    <row r="1537">
      <c r="A1537" s="19" t="n"/>
      <c r="B1537" s="19" t="n"/>
      <c r="C1537" s="19" t="n"/>
      <c r="D1537" s="19" t="n"/>
      <c r="E1537" s="19" t="n"/>
      <c r="F1537" s="19" t="n"/>
      <c r="G1537" s="19" t="n"/>
      <c r="H1537" s="19" t="n"/>
      <c r="I1537" s="19" t="n"/>
      <c r="J1537" s="19" t="n"/>
      <c r="K1537" s="19" t="n"/>
      <c r="L1537" s="19" t="n"/>
      <c r="M1537" s="19" t="n"/>
    </row>
    <row r="1538">
      <c r="A1538" s="19" t="n"/>
      <c r="B1538" s="19" t="n"/>
      <c r="C1538" s="19" t="n"/>
      <c r="D1538" s="19" t="n"/>
      <c r="E1538" s="19" t="n"/>
      <c r="F1538" s="19" t="n"/>
      <c r="G1538" s="19" t="n"/>
      <c r="H1538" s="19" t="n"/>
      <c r="I1538" s="19" t="n"/>
      <c r="J1538" s="19" t="n"/>
      <c r="K1538" s="19" t="n"/>
      <c r="L1538" s="19" t="n"/>
      <c r="M1538" s="19" t="n"/>
    </row>
    <row r="1539">
      <c r="A1539" s="19" t="n"/>
      <c r="B1539" s="19" t="n"/>
      <c r="C1539" s="19" t="n"/>
      <c r="D1539" s="19" t="n"/>
      <c r="E1539" s="19" t="n"/>
      <c r="F1539" s="19" t="n"/>
      <c r="G1539" s="19" t="n"/>
      <c r="H1539" s="19" t="n"/>
      <c r="I1539" s="19" t="n"/>
      <c r="J1539" s="19" t="n"/>
      <c r="K1539" s="19" t="n"/>
      <c r="L1539" s="19" t="n"/>
      <c r="M1539" s="19" t="n"/>
    </row>
    <row r="1540">
      <c r="A1540" s="19" t="n"/>
      <c r="B1540" s="19" t="n"/>
      <c r="C1540" s="19" t="n"/>
      <c r="D1540" s="19" t="n"/>
      <c r="E1540" s="19" t="n"/>
      <c r="F1540" s="19" t="n"/>
      <c r="G1540" s="19" t="n"/>
      <c r="H1540" s="19" t="n"/>
      <c r="I1540" s="19" t="n"/>
      <c r="J1540" s="19" t="n"/>
      <c r="K1540" s="19" t="n"/>
      <c r="L1540" s="19" t="n"/>
      <c r="M1540" s="19" t="n"/>
    </row>
    <row r="1541">
      <c r="A1541" s="19" t="n"/>
      <c r="B1541" s="19" t="n"/>
      <c r="C1541" s="19" t="n"/>
      <c r="D1541" s="19" t="n"/>
      <c r="E1541" s="19" t="n"/>
      <c r="F1541" s="19" t="n"/>
      <c r="G1541" s="19" t="n"/>
      <c r="H1541" s="19" t="n"/>
      <c r="I1541" s="19" t="n"/>
      <c r="J1541" s="19" t="n"/>
      <c r="K1541" s="19" t="n"/>
      <c r="L1541" s="19" t="n"/>
      <c r="M1541" s="19" t="n"/>
    </row>
    <row r="1542">
      <c r="A1542" s="19" t="n"/>
      <c r="B1542" s="19" t="n"/>
      <c r="C1542" s="19" t="n"/>
      <c r="D1542" s="19" t="n"/>
      <c r="E1542" s="19" t="n"/>
      <c r="F1542" s="19" t="n"/>
      <c r="G1542" s="19" t="n"/>
      <c r="H1542" s="19" t="n"/>
      <c r="I1542" s="19" t="n"/>
      <c r="J1542" s="19" t="n"/>
      <c r="K1542" s="19" t="n"/>
      <c r="L1542" s="19" t="n"/>
      <c r="M1542" s="19" t="n"/>
    </row>
    <row r="1543">
      <c r="A1543" s="19" t="n"/>
      <c r="B1543" s="19" t="n"/>
      <c r="C1543" s="19" t="n"/>
      <c r="D1543" s="19" t="n"/>
      <c r="E1543" s="19" t="n"/>
      <c r="F1543" s="19" t="n"/>
      <c r="G1543" s="19" t="n"/>
      <c r="H1543" s="19" t="n"/>
      <c r="I1543" s="19" t="n"/>
      <c r="J1543" s="19" t="n"/>
      <c r="K1543" s="19" t="n"/>
      <c r="L1543" s="19" t="n"/>
      <c r="M1543" s="19" t="n"/>
    </row>
    <row r="1544">
      <c r="A1544" s="19" t="n"/>
      <c r="B1544" s="19" t="n"/>
      <c r="C1544" s="19" t="n"/>
      <c r="D1544" s="19" t="n"/>
      <c r="E1544" s="19" t="n"/>
      <c r="F1544" s="19" t="n"/>
      <c r="G1544" s="19" t="n"/>
      <c r="H1544" s="19" t="n"/>
      <c r="I1544" s="19" t="n"/>
      <c r="J1544" s="19" t="n"/>
      <c r="K1544" s="19" t="n"/>
      <c r="L1544" s="19" t="n"/>
      <c r="M1544" s="19" t="n"/>
    </row>
    <row r="1545">
      <c r="A1545" s="19" t="n"/>
      <c r="B1545" s="19" t="n"/>
      <c r="C1545" s="19" t="n"/>
      <c r="D1545" s="19" t="n"/>
      <c r="E1545" s="19" t="n"/>
      <c r="F1545" s="19" t="n"/>
      <c r="G1545" s="19" t="n"/>
      <c r="H1545" s="19" t="n"/>
      <c r="I1545" s="19" t="n"/>
      <c r="J1545" s="19" t="n"/>
      <c r="K1545" s="19" t="n"/>
      <c r="L1545" s="19" t="n"/>
      <c r="M1545" s="19" t="n"/>
    </row>
    <row r="1546">
      <c r="A1546" s="19" t="n"/>
      <c r="B1546" s="19" t="n"/>
      <c r="C1546" s="19" t="n"/>
      <c r="D1546" s="19" t="n"/>
      <c r="E1546" s="19" t="n"/>
      <c r="F1546" s="19" t="n"/>
      <c r="G1546" s="19" t="n"/>
      <c r="H1546" s="19" t="n"/>
      <c r="I1546" s="19" t="n"/>
      <c r="J1546" s="19" t="n"/>
      <c r="K1546" s="19" t="n"/>
      <c r="L1546" s="19" t="n"/>
      <c r="M1546" s="19" t="n"/>
    </row>
    <row r="1547">
      <c r="A1547" s="19" t="n"/>
      <c r="B1547" s="19" t="n"/>
      <c r="C1547" s="19" t="n"/>
      <c r="D1547" s="19" t="n"/>
      <c r="E1547" s="19" t="n"/>
      <c r="F1547" s="19" t="n"/>
      <c r="G1547" s="19" t="n"/>
      <c r="H1547" s="19" t="n"/>
      <c r="I1547" s="19" t="n"/>
      <c r="J1547" s="19" t="n"/>
      <c r="K1547" s="19" t="n"/>
      <c r="L1547" s="19" t="n"/>
      <c r="M1547" s="19" t="n"/>
    </row>
    <row r="1548">
      <c r="A1548" s="19" t="n"/>
      <c r="B1548" s="19" t="n"/>
      <c r="C1548" s="19" t="n"/>
      <c r="D1548" s="19" t="n"/>
      <c r="E1548" s="19" t="n"/>
      <c r="F1548" s="19" t="n"/>
      <c r="G1548" s="19" t="n"/>
      <c r="H1548" s="19" t="n"/>
      <c r="I1548" s="19" t="n"/>
      <c r="J1548" s="19" t="n"/>
      <c r="K1548" s="19" t="n"/>
      <c r="L1548" s="19" t="n"/>
      <c r="M1548" s="19" t="n"/>
    </row>
    <row r="1549">
      <c r="A1549" s="19" t="n"/>
      <c r="B1549" s="19" t="n"/>
      <c r="C1549" s="19" t="n"/>
      <c r="D1549" s="19" t="n"/>
      <c r="E1549" s="19" t="n"/>
      <c r="F1549" s="19" t="n"/>
      <c r="G1549" s="19" t="n"/>
      <c r="H1549" s="19" t="n"/>
      <c r="I1549" s="19" t="n"/>
      <c r="J1549" s="19" t="n"/>
      <c r="K1549" s="19" t="n"/>
      <c r="L1549" s="19" t="n"/>
      <c r="M1549" s="19" t="n"/>
    </row>
    <row r="1550">
      <c r="A1550" s="19" t="n"/>
      <c r="B1550" s="19" t="n"/>
      <c r="C1550" s="19" t="n"/>
      <c r="D1550" s="19" t="n"/>
      <c r="E1550" s="19" t="n"/>
      <c r="F1550" s="19" t="n"/>
      <c r="G1550" s="19" t="n"/>
      <c r="H1550" s="19" t="n"/>
      <c r="I1550" s="19" t="n"/>
      <c r="J1550" s="19" t="n"/>
      <c r="K1550" s="19" t="n"/>
      <c r="L1550" s="19" t="n"/>
      <c r="M1550" s="19" t="n"/>
    </row>
    <row r="1551">
      <c r="A1551" s="19" t="n"/>
      <c r="B1551" s="19" t="n"/>
      <c r="C1551" s="19" t="n"/>
      <c r="D1551" s="19" t="n"/>
      <c r="E1551" s="19" t="n"/>
      <c r="F1551" s="19" t="n"/>
      <c r="G1551" s="19" t="n"/>
      <c r="H1551" s="19" t="n"/>
      <c r="I1551" s="19" t="n"/>
      <c r="J1551" s="19" t="n"/>
      <c r="K1551" s="19" t="n"/>
      <c r="L1551" s="19" t="n"/>
      <c r="M1551" s="19" t="n"/>
    </row>
    <row r="1552">
      <c r="A1552" s="19" t="n"/>
      <c r="B1552" s="19" t="n"/>
      <c r="C1552" s="19" t="n"/>
      <c r="D1552" s="19" t="n"/>
      <c r="E1552" s="19" t="n"/>
      <c r="F1552" s="19" t="n"/>
      <c r="G1552" s="19" t="n"/>
      <c r="H1552" s="19" t="n"/>
      <c r="I1552" s="19" t="n"/>
      <c r="J1552" s="19" t="n"/>
      <c r="K1552" s="19" t="n"/>
      <c r="L1552" s="19" t="n"/>
      <c r="M1552" s="19" t="n"/>
    </row>
    <row r="1553">
      <c r="A1553" s="19" t="n"/>
      <c r="B1553" s="19" t="n"/>
      <c r="C1553" s="19" t="n"/>
      <c r="D1553" s="19" t="n"/>
      <c r="E1553" s="19" t="n"/>
      <c r="F1553" s="19" t="n"/>
      <c r="G1553" s="19" t="n"/>
      <c r="H1553" s="19" t="n"/>
      <c r="I1553" s="19" t="n"/>
      <c r="J1553" s="19" t="n"/>
      <c r="K1553" s="19" t="n"/>
      <c r="L1553" s="19" t="n"/>
      <c r="M1553" s="19" t="n"/>
    </row>
    <row r="1554">
      <c r="A1554" s="19" t="n"/>
      <c r="B1554" s="19" t="n"/>
      <c r="C1554" s="19" t="n"/>
      <c r="D1554" s="19" t="n"/>
      <c r="E1554" s="19" t="n"/>
      <c r="F1554" s="19" t="n"/>
      <c r="G1554" s="19" t="n"/>
      <c r="H1554" s="19" t="n"/>
      <c r="I1554" s="19" t="n"/>
      <c r="J1554" s="19" t="n"/>
      <c r="K1554" s="19" t="n"/>
      <c r="L1554" s="19" t="n"/>
      <c r="M1554" s="19" t="n"/>
    </row>
    <row r="1555">
      <c r="A1555" s="19" t="n"/>
      <c r="B1555" s="19" t="n"/>
      <c r="C1555" s="19" t="n"/>
      <c r="D1555" s="19" t="n"/>
      <c r="E1555" s="19" t="n"/>
      <c r="F1555" s="19" t="n"/>
      <c r="G1555" s="19" t="n"/>
      <c r="H1555" s="19" t="n"/>
      <c r="I1555" s="19" t="n"/>
      <c r="J1555" s="19" t="n"/>
      <c r="K1555" s="19" t="n"/>
      <c r="L1555" s="19" t="n"/>
      <c r="M1555" s="19" t="n"/>
    </row>
    <row r="1556">
      <c r="A1556" s="19" t="n"/>
      <c r="B1556" s="19" t="n"/>
      <c r="C1556" s="19" t="n"/>
      <c r="D1556" s="19" t="n"/>
      <c r="E1556" s="19" t="n"/>
      <c r="F1556" s="19" t="n"/>
      <c r="G1556" s="19" t="n"/>
      <c r="H1556" s="19" t="n"/>
      <c r="I1556" s="19" t="n"/>
      <c r="J1556" s="19" t="n"/>
      <c r="K1556" s="19" t="n"/>
      <c r="L1556" s="19" t="n"/>
      <c r="M1556" s="19" t="n"/>
    </row>
    <row r="1557">
      <c r="A1557" s="19" t="n"/>
      <c r="B1557" s="19" t="n"/>
      <c r="C1557" s="19" t="n"/>
      <c r="D1557" s="19" t="n"/>
      <c r="E1557" s="19" t="n"/>
      <c r="F1557" s="19" t="n"/>
      <c r="G1557" s="19" t="n"/>
      <c r="H1557" s="19" t="n"/>
      <c r="I1557" s="19" t="n"/>
      <c r="J1557" s="19" t="n"/>
      <c r="K1557" s="19" t="n"/>
      <c r="L1557" s="19" t="n"/>
      <c r="M1557" s="19" t="n"/>
    </row>
    <row r="1558">
      <c r="A1558" s="19" t="n"/>
      <c r="B1558" s="19" t="n"/>
      <c r="C1558" s="19" t="n"/>
      <c r="D1558" s="19" t="n"/>
      <c r="E1558" s="19" t="n"/>
      <c r="F1558" s="19" t="n"/>
      <c r="G1558" s="19" t="n"/>
      <c r="H1558" s="19" t="n"/>
      <c r="I1558" s="19" t="n"/>
      <c r="J1558" s="19" t="n"/>
      <c r="K1558" s="19" t="n"/>
      <c r="L1558" s="19" t="n"/>
      <c r="M1558" s="19" t="n"/>
    </row>
    <row r="1559">
      <c r="A1559" s="19" t="n"/>
      <c r="B1559" s="19" t="n"/>
      <c r="C1559" s="19" t="n"/>
      <c r="D1559" s="19" t="n"/>
      <c r="E1559" s="19" t="n"/>
      <c r="F1559" s="19" t="n"/>
      <c r="G1559" s="19" t="n"/>
      <c r="H1559" s="19" t="n"/>
      <c r="I1559" s="19" t="n"/>
      <c r="J1559" s="19" t="n"/>
      <c r="K1559" s="19" t="n"/>
      <c r="L1559" s="19" t="n"/>
      <c r="M1559" s="19" t="n"/>
    </row>
    <row r="1560">
      <c r="A1560" s="19" t="n"/>
      <c r="B1560" s="19" t="n"/>
      <c r="C1560" s="19" t="n"/>
      <c r="D1560" s="19" t="n"/>
      <c r="E1560" s="19" t="n"/>
      <c r="F1560" s="19" t="n"/>
      <c r="G1560" s="19" t="n"/>
      <c r="H1560" s="19" t="n"/>
      <c r="I1560" s="19" t="n"/>
      <c r="J1560" s="19" t="n"/>
      <c r="K1560" s="19" t="n"/>
      <c r="L1560" s="19" t="n"/>
      <c r="M1560" s="19" t="n"/>
    </row>
    <row r="1561">
      <c r="A1561" s="19" t="n"/>
      <c r="B1561" s="19" t="n"/>
      <c r="C1561" s="19" t="n"/>
      <c r="D1561" s="19" t="n"/>
      <c r="E1561" s="19" t="n"/>
      <c r="F1561" s="19" t="n"/>
      <c r="G1561" s="19" t="n"/>
      <c r="H1561" s="19" t="n"/>
      <c r="I1561" s="19" t="n"/>
      <c r="J1561" s="19" t="n"/>
      <c r="K1561" s="19" t="n"/>
      <c r="L1561" s="19" t="n"/>
      <c r="M1561" s="19" t="n"/>
    </row>
    <row r="1562">
      <c r="A1562" s="19" t="n"/>
      <c r="B1562" s="19" t="n"/>
      <c r="C1562" s="19" t="n"/>
      <c r="D1562" s="19" t="n"/>
      <c r="E1562" s="19" t="n"/>
      <c r="F1562" s="19" t="n"/>
      <c r="G1562" s="19" t="n"/>
      <c r="H1562" s="19" t="n"/>
      <c r="I1562" s="19" t="n"/>
      <c r="J1562" s="19" t="n"/>
      <c r="K1562" s="19" t="n"/>
      <c r="L1562" s="19" t="n"/>
      <c r="M1562" s="19" t="n"/>
    </row>
    <row r="1563">
      <c r="A1563" s="19" t="n"/>
      <c r="B1563" s="19" t="n"/>
      <c r="C1563" s="19" t="n"/>
      <c r="D1563" s="19" t="n"/>
      <c r="E1563" s="19" t="n"/>
      <c r="F1563" s="19" t="n"/>
      <c r="G1563" s="19" t="n"/>
      <c r="H1563" s="19" t="n"/>
      <c r="I1563" s="19" t="n"/>
      <c r="J1563" s="19" t="n"/>
      <c r="K1563" s="19" t="n"/>
      <c r="L1563" s="19" t="n"/>
      <c r="M1563" s="19" t="n"/>
    </row>
    <row r="1564">
      <c r="A1564" s="19" t="n"/>
      <c r="B1564" s="19" t="n"/>
      <c r="C1564" s="19" t="n"/>
      <c r="D1564" s="19" t="n"/>
      <c r="E1564" s="19" t="n"/>
      <c r="F1564" s="19" t="n"/>
      <c r="G1564" s="19" t="n"/>
      <c r="H1564" s="19" t="n"/>
      <c r="I1564" s="19" t="n"/>
      <c r="J1564" s="19" t="n"/>
      <c r="K1564" s="19" t="n"/>
      <c r="L1564" s="19" t="n"/>
      <c r="M1564" s="19" t="n"/>
    </row>
    <row r="1565">
      <c r="A1565" s="19" t="n"/>
      <c r="B1565" s="19" t="n"/>
      <c r="C1565" s="19" t="n"/>
      <c r="D1565" s="19" t="n"/>
      <c r="E1565" s="19" t="n"/>
      <c r="F1565" s="19" t="n"/>
      <c r="G1565" s="19" t="n"/>
      <c r="H1565" s="19" t="n"/>
      <c r="I1565" s="19" t="n"/>
      <c r="J1565" s="19" t="n"/>
      <c r="K1565" s="19" t="n"/>
      <c r="L1565" s="19" t="n"/>
      <c r="M1565" s="19" t="n"/>
    </row>
    <row r="1566">
      <c r="A1566" s="19" t="n"/>
      <c r="B1566" s="19" t="n"/>
      <c r="C1566" s="19" t="n"/>
      <c r="D1566" s="19" t="n"/>
      <c r="E1566" s="19" t="n"/>
      <c r="F1566" s="19" t="n"/>
      <c r="G1566" s="19" t="n"/>
      <c r="H1566" s="19" t="n"/>
      <c r="I1566" s="19" t="n"/>
      <c r="J1566" s="19" t="n"/>
      <c r="K1566" s="19" t="n"/>
      <c r="L1566" s="19" t="n"/>
      <c r="M1566" s="19" t="n"/>
    </row>
    <row r="1567">
      <c r="A1567" s="19" t="n"/>
      <c r="B1567" s="19" t="n"/>
      <c r="C1567" s="19" t="n"/>
      <c r="D1567" s="19" t="n"/>
      <c r="E1567" s="19" t="n"/>
      <c r="F1567" s="19" t="n"/>
      <c r="G1567" s="19" t="n"/>
      <c r="H1567" s="19" t="n"/>
      <c r="I1567" s="19" t="n"/>
      <c r="J1567" s="19" t="n"/>
      <c r="K1567" s="19" t="n"/>
      <c r="L1567" s="19" t="n"/>
      <c r="M1567" s="19" t="n"/>
    </row>
    <row r="1568">
      <c r="A1568" s="19" t="n"/>
      <c r="B1568" s="19" t="n"/>
      <c r="C1568" s="19" t="n"/>
      <c r="D1568" s="19" t="n"/>
      <c r="E1568" s="19" t="n"/>
      <c r="F1568" s="19" t="n"/>
      <c r="G1568" s="19" t="n"/>
      <c r="H1568" s="19" t="n"/>
      <c r="I1568" s="19" t="n"/>
      <c r="J1568" s="19" t="n"/>
      <c r="K1568" s="19" t="n"/>
      <c r="L1568" s="19" t="n"/>
      <c r="M1568" s="19" t="n"/>
    </row>
    <row r="1569">
      <c r="A1569" s="19" t="n"/>
      <c r="B1569" s="19" t="n"/>
      <c r="C1569" s="19" t="n"/>
      <c r="D1569" s="19" t="n"/>
      <c r="E1569" s="19" t="n"/>
      <c r="F1569" s="19" t="n"/>
      <c r="G1569" s="19" t="n"/>
      <c r="H1569" s="19" t="n"/>
      <c r="I1569" s="19" t="n"/>
      <c r="J1569" s="19" t="n"/>
      <c r="K1569" s="19" t="n"/>
      <c r="L1569" s="19" t="n"/>
      <c r="M1569" s="19" t="n"/>
    </row>
    <row r="1570">
      <c r="A1570" s="19" t="n"/>
      <c r="B1570" s="19" t="n"/>
      <c r="C1570" s="19" t="n"/>
      <c r="D1570" s="19" t="n"/>
      <c r="E1570" s="19" t="n"/>
      <c r="F1570" s="19" t="n"/>
      <c r="G1570" s="19" t="n"/>
      <c r="H1570" s="19" t="n"/>
      <c r="I1570" s="19" t="n"/>
      <c r="J1570" s="19" t="n"/>
      <c r="K1570" s="19" t="n"/>
      <c r="L1570" s="19" t="n"/>
      <c r="M1570" s="19" t="n"/>
    </row>
    <row r="1571">
      <c r="A1571" s="19" t="n"/>
      <c r="B1571" s="19" t="n"/>
      <c r="C1571" s="19" t="n"/>
      <c r="D1571" s="19" t="n"/>
      <c r="E1571" s="19" t="n"/>
      <c r="F1571" s="19" t="n"/>
      <c r="G1571" s="19" t="n"/>
      <c r="H1571" s="19" t="n"/>
      <c r="I1571" s="19" t="n"/>
      <c r="J1571" s="19" t="n"/>
      <c r="K1571" s="19" t="n"/>
      <c r="L1571" s="19" t="n"/>
      <c r="M1571" s="19" t="n"/>
    </row>
    <row r="1572">
      <c r="A1572" s="19" t="n"/>
      <c r="B1572" s="19" t="n"/>
      <c r="C1572" s="19" t="n"/>
      <c r="D1572" s="19" t="n"/>
      <c r="E1572" s="19" t="n"/>
      <c r="F1572" s="19" t="n"/>
      <c r="G1572" s="19" t="n"/>
      <c r="H1572" s="19" t="n"/>
      <c r="I1572" s="19" t="n"/>
      <c r="J1572" s="19" t="n"/>
      <c r="K1572" s="19" t="n"/>
      <c r="L1572" s="19" t="n"/>
      <c r="M1572" s="19" t="n"/>
    </row>
    <row r="1573">
      <c r="A1573" s="19" t="n"/>
      <c r="B1573" s="19" t="n"/>
      <c r="C1573" s="19" t="n"/>
      <c r="D1573" s="19" t="n"/>
      <c r="E1573" s="19" t="n"/>
      <c r="F1573" s="19" t="n"/>
      <c r="G1573" s="19" t="n"/>
      <c r="H1573" s="19" t="n"/>
      <c r="I1573" s="19" t="n"/>
      <c r="J1573" s="19" t="n"/>
      <c r="K1573" s="19" t="n"/>
      <c r="L1573" s="19" t="n"/>
      <c r="M1573" s="19" t="n"/>
    </row>
    <row r="1574">
      <c r="A1574" s="19" t="n"/>
      <c r="B1574" s="19" t="n"/>
      <c r="C1574" s="19" t="n"/>
      <c r="D1574" s="19" t="n"/>
      <c r="E1574" s="19" t="n"/>
      <c r="F1574" s="19" t="n"/>
      <c r="G1574" s="19" t="n"/>
      <c r="H1574" s="19" t="n"/>
      <c r="I1574" s="19" t="n"/>
      <c r="J1574" s="19" t="n"/>
      <c r="K1574" s="19" t="n"/>
      <c r="L1574" s="19" t="n"/>
      <c r="M1574" s="19" t="n"/>
    </row>
    <row r="1575">
      <c r="A1575" s="19" t="n"/>
      <c r="B1575" s="19" t="n"/>
      <c r="C1575" s="19" t="n"/>
      <c r="D1575" s="19" t="n"/>
      <c r="E1575" s="19" t="n"/>
      <c r="F1575" s="19" t="n"/>
      <c r="G1575" s="19" t="n"/>
      <c r="H1575" s="19" t="n"/>
      <c r="I1575" s="19" t="n"/>
      <c r="J1575" s="19" t="n"/>
      <c r="K1575" s="19" t="n"/>
      <c r="L1575" s="19" t="n"/>
      <c r="M1575" s="19" t="n"/>
    </row>
    <row r="1576">
      <c r="A1576" s="19" t="n"/>
      <c r="B1576" s="19" t="n"/>
      <c r="C1576" s="19" t="n"/>
      <c r="D1576" s="19" t="n"/>
      <c r="E1576" s="19" t="n"/>
      <c r="F1576" s="19" t="n"/>
      <c r="G1576" s="19" t="n"/>
      <c r="H1576" s="19" t="n"/>
      <c r="I1576" s="19" t="n"/>
      <c r="J1576" s="19" t="n"/>
      <c r="K1576" s="19" t="n"/>
      <c r="L1576" s="19" t="n"/>
      <c r="M1576" s="19" t="n"/>
    </row>
    <row r="1577">
      <c r="A1577" s="19" t="n"/>
      <c r="B1577" s="19" t="n"/>
      <c r="C1577" s="19" t="n"/>
      <c r="D1577" s="19" t="n"/>
      <c r="E1577" s="19" t="n"/>
      <c r="F1577" s="19" t="n"/>
      <c r="G1577" s="19" t="n"/>
      <c r="H1577" s="19" t="n"/>
      <c r="I1577" s="19" t="n"/>
      <c r="J1577" s="19" t="n"/>
      <c r="K1577" s="19" t="n"/>
      <c r="L1577" s="19" t="n"/>
      <c r="M1577" s="19" t="n"/>
    </row>
    <row r="1578">
      <c r="A1578" s="19" t="n"/>
      <c r="B1578" s="19" t="n"/>
      <c r="C1578" s="19" t="n"/>
      <c r="D1578" s="19" t="n"/>
      <c r="E1578" s="19" t="n"/>
      <c r="F1578" s="19" t="n"/>
      <c r="G1578" s="19" t="n"/>
      <c r="H1578" s="19" t="n"/>
      <c r="I1578" s="19" t="n"/>
      <c r="J1578" s="19" t="n"/>
      <c r="K1578" s="19" t="n"/>
      <c r="L1578" s="19" t="n"/>
      <c r="M1578" s="19" t="n"/>
    </row>
    <row r="1579">
      <c r="A1579" s="19" t="n"/>
      <c r="B1579" s="19" t="n"/>
      <c r="C1579" s="19" t="n"/>
      <c r="D1579" s="19" t="n"/>
      <c r="E1579" s="19" t="n"/>
      <c r="F1579" s="19" t="n"/>
      <c r="G1579" s="19" t="n"/>
      <c r="H1579" s="19" t="n"/>
      <c r="I1579" s="19" t="n"/>
      <c r="J1579" s="19" t="n"/>
      <c r="K1579" s="19" t="n"/>
      <c r="L1579" s="19" t="n"/>
      <c r="M1579" s="19" t="n"/>
    </row>
    <row r="1580">
      <c r="A1580" s="19" t="n"/>
      <c r="B1580" s="19" t="n"/>
      <c r="C1580" s="19" t="n"/>
      <c r="D1580" s="19" t="n"/>
      <c r="E1580" s="19" t="n"/>
      <c r="F1580" s="19" t="n"/>
      <c r="G1580" s="19" t="n"/>
      <c r="H1580" s="19" t="n"/>
      <c r="I1580" s="19" t="n"/>
      <c r="J1580" s="19" t="n"/>
      <c r="K1580" s="19" t="n"/>
      <c r="L1580" s="19" t="n"/>
      <c r="M1580" s="19" t="n"/>
    </row>
    <row r="1581">
      <c r="A1581" s="19" t="n"/>
      <c r="B1581" s="19" t="n"/>
      <c r="C1581" s="19" t="n"/>
      <c r="D1581" s="19" t="n"/>
      <c r="E1581" s="19" t="n"/>
      <c r="F1581" s="19" t="n"/>
      <c r="G1581" s="19" t="n"/>
      <c r="H1581" s="19" t="n"/>
      <c r="I1581" s="19" t="n"/>
      <c r="J1581" s="19" t="n"/>
      <c r="K1581" s="19" t="n"/>
      <c r="L1581" s="19" t="n"/>
      <c r="M1581" s="19" t="n"/>
    </row>
    <row r="1582">
      <c r="A1582" s="19" t="n"/>
      <c r="B1582" s="19" t="n"/>
      <c r="C1582" s="19" t="n"/>
      <c r="D1582" s="19" t="n"/>
      <c r="E1582" s="19" t="n"/>
      <c r="F1582" s="19" t="n"/>
      <c r="G1582" s="19" t="n"/>
      <c r="H1582" s="19" t="n"/>
      <c r="I1582" s="19" t="n"/>
      <c r="J1582" s="19" t="n"/>
      <c r="K1582" s="19" t="n"/>
      <c r="L1582" s="19" t="n"/>
      <c r="M1582" s="19" t="n"/>
    </row>
    <row r="1583">
      <c r="A1583" s="19" t="n"/>
      <c r="B1583" s="19" t="n"/>
      <c r="C1583" s="19" t="n"/>
      <c r="D1583" s="19" t="n"/>
      <c r="E1583" s="19" t="n"/>
      <c r="F1583" s="19" t="n"/>
      <c r="G1583" s="19" t="n"/>
      <c r="H1583" s="19" t="n"/>
      <c r="I1583" s="19" t="n"/>
      <c r="J1583" s="19" t="n"/>
      <c r="K1583" s="19" t="n"/>
      <c r="L1583" s="19" t="n"/>
      <c r="M1583" s="19" t="n"/>
    </row>
    <row r="1584">
      <c r="A1584" s="19" t="n"/>
      <c r="B1584" s="19" t="n"/>
      <c r="C1584" s="19" t="n"/>
      <c r="D1584" s="19" t="n"/>
      <c r="E1584" s="19" t="n"/>
      <c r="F1584" s="19" t="n"/>
      <c r="G1584" s="19" t="n"/>
      <c r="H1584" s="19" t="n"/>
      <c r="I1584" s="19" t="n"/>
      <c r="J1584" s="19" t="n"/>
      <c r="K1584" s="19" t="n"/>
      <c r="L1584" s="19" t="n"/>
      <c r="M1584" s="19" t="n"/>
    </row>
    <row r="1585">
      <c r="A1585" s="19" t="n"/>
      <c r="B1585" s="19" t="n"/>
      <c r="C1585" s="19" t="n"/>
      <c r="D1585" s="19" t="n"/>
      <c r="E1585" s="19" t="n"/>
      <c r="F1585" s="19" t="n"/>
      <c r="G1585" s="19" t="n"/>
      <c r="H1585" s="19" t="n"/>
      <c r="I1585" s="19" t="n"/>
      <c r="J1585" s="19" t="n"/>
      <c r="K1585" s="19" t="n"/>
      <c r="L1585" s="19" t="n"/>
      <c r="M1585" s="19" t="n"/>
    </row>
    <row r="1586">
      <c r="A1586" s="19" t="n"/>
      <c r="B1586" s="19" t="n"/>
      <c r="C1586" s="19" t="n"/>
      <c r="D1586" s="19" t="n"/>
      <c r="E1586" s="19" t="n"/>
      <c r="F1586" s="19" t="n"/>
      <c r="G1586" s="19" t="n"/>
      <c r="H1586" s="19" t="n"/>
      <c r="I1586" s="19" t="n"/>
      <c r="J1586" s="19" t="n"/>
      <c r="K1586" s="19" t="n"/>
      <c r="L1586" s="19" t="n"/>
      <c r="M1586" s="19" t="n"/>
    </row>
    <row r="1587">
      <c r="A1587" s="19" t="n"/>
      <c r="B1587" s="19" t="n"/>
      <c r="C1587" s="19" t="n"/>
      <c r="D1587" s="19" t="n"/>
      <c r="E1587" s="19" t="n"/>
      <c r="F1587" s="19" t="n"/>
      <c r="G1587" s="19" t="n"/>
      <c r="H1587" s="19" t="n"/>
      <c r="I1587" s="19" t="n"/>
      <c r="J1587" s="19" t="n"/>
      <c r="K1587" s="19" t="n"/>
      <c r="L1587" s="19" t="n"/>
      <c r="M1587" s="19" t="n"/>
    </row>
    <row r="1588">
      <c r="A1588" s="19" t="n"/>
      <c r="B1588" s="19" t="n"/>
      <c r="C1588" s="19" t="n"/>
      <c r="D1588" s="19" t="n"/>
      <c r="E1588" s="19" t="n"/>
      <c r="F1588" s="19" t="n"/>
      <c r="G1588" s="19" t="n"/>
      <c r="H1588" s="19" t="n"/>
      <c r="I1588" s="19" t="n"/>
      <c r="J1588" s="19" t="n"/>
      <c r="K1588" s="19" t="n"/>
      <c r="L1588" s="19" t="n"/>
      <c r="M1588" s="19" t="n"/>
    </row>
    <row r="1589">
      <c r="A1589" s="19" t="n"/>
      <c r="B1589" s="19" t="n"/>
      <c r="C1589" s="19" t="n"/>
      <c r="D1589" s="19" t="n"/>
      <c r="E1589" s="19" t="n"/>
      <c r="F1589" s="19" t="n"/>
      <c r="G1589" s="19" t="n"/>
      <c r="H1589" s="19" t="n"/>
      <c r="I1589" s="19" t="n"/>
      <c r="J1589" s="19" t="n"/>
      <c r="K1589" s="19" t="n"/>
      <c r="L1589" s="19" t="n"/>
      <c r="M1589" s="19" t="n"/>
    </row>
    <row r="1590">
      <c r="A1590" s="19" t="n"/>
      <c r="B1590" s="19" t="n"/>
      <c r="C1590" s="19" t="n"/>
      <c r="D1590" s="19" t="n"/>
      <c r="E1590" s="19" t="n"/>
      <c r="F1590" s="19" t="n"/>
      <c r="G1590" s="19" t="n"/>
      <c r="H1590" s="19" t="n"/>
      <c r="I1590" s="19" t="n"/>
      <c r="J1590" s="19" t="n"/>
      <c r="K1590" s="19" t="n"/>
      <c r="L1590" s="19" t="n"/>
      <c r="M1590" s="19" t="n"/>
    </row>
    <row r="1591">
      <c r="A1591" s="19" t="n"/>
      <c r="B1591" s="19" t="n"/>
      <c r="C1591" s="19" t="n"/>
      <c r="D1591" s="19" t="n"/>
      <c r="E1591" s="19" t="n"/>
      <c r="F1591" s="19" t="n"/>
      <c r="G1591" s="19" t="n"/>
      <c r="H1591" s="19" t="n"/>
      <c r="I1591" s="19" t="n"/>
      <c r="J1591" s="19" t="n"/>
      <c r="K1591" s="19" t="n"/>
      <c r="L1591" s="19" t="n"/>
      <c r="M1591" s="19" t="n"/>
    </row>
    <row r="1592">
      <c r="A1592" s="19" t="n"/>
      <c r="B1592" s="19" t="n"/>
      <c r="C1592" s="19" t="n"/>
      <c r="D1592" s="19" t="n"/>
      <c r="E1592" s="19" t="n"/>
      <c r="F1592" s="19" t="n"/>
      <c r="G1592" s="19" t="n"/>
      <c r="H1592" s="19" t="n"/>
      <c r="I1592" s="19" t="n"/>
      <c r="J1592" s="19" t="n"/>
      <c r="K1592" s="19" t="n"/>
      <c r="L1592" s="19" t="n"/>
      <c r="M1592" s="19" t="n"/>
    </row>
    <row r="1593">
      <c r="A1593" s="19" t="n"/>
      <c r="B1593" s="19" t="n"/>
      <c r="C1593" s="19" t="n"/>
      <c r="D1593" s="19" t="n"/>
      <c r="E1593" s="19" t="n"/>
      <c r="F1593" s="19" t="n"/>
      <c r="G1593" s="19" t="n"/>
      <c r="H1593" s="19" t="n"/>
      <c r="I1593" s="19" t="n"/>
      <c r="J1593" s="19" t="n"/>
      <c r="K1593" s="19" t="n"/>
      <c r="L1593" s="19" t="n"/>
      <c r="M1593" s="19" t="n"/>
    </row>
    <row r="1594">
      <c r="A1594" s="19" t="n"/>
      <c r="B1594" s="19" t="n"/>
      <c r="C1594" s="19" t="n"/>
      <c r="D1594" s="19" t="n"/>
      <c r="E1594" s="19" t="n"/>
      <c r="F1594" s="19" t="n"/>
      <c r="G1594" s="19" t="n"/>
      <c r="H1594" s="19" t="n"/>
      <c r="I1594" s="19" t="n"/>
      <c r="J1594" s="19" t="n"/>
      <c r="K1594" s="19" t="n"/>
      <c r="L1594" s="19" t="n"/>
      <c r="M1594" s="19" t="n"/>
    </row>
    <row r="1595">
      <c r="A1595" s="19" t="n"/>
      <c r="B1595" s="19" t="n"/>
      <c r="C1595" s="19" t="n"/>
      <c r="D1595" s="19" t="n"/>
      <c r="E1595" s="19" t="n"/>
      <c r="F1595" s="19" t="n"/>
      <c r="G1595" s="19" t="n"/>
      <c r="H1595" s="19" t="n"/>
      <c r="I1595" s="19" t="n"/>
      <c r="J1595" s="19" t="n"/>
      <c r="K1595" s="19" t="n"/>
      <c r="L1595" s="19" t="n"/>
      <c r="M1595" s="19" t="n"/>
    </row>
    <row r="1596">
      <c r="A1596" s="19" t="n"/>
      <c r="B1596" s="19" t="n"/>
      <c r="C1596" s="19" t="n"/>
      <c r="D1596" s="19" t="n"/>
      <c r="E1596" s="19" t="n"/>
      <c r="F1596" s="19" t="n"/>
      <c r="G1596" s="19" t="n"/>
      <c r="H1596" s="19" t="n"/>
      <c r="I1596" s="19" t="n"/>
      <c r="J1596" s="19" t="n"/>
      <c r="K1596" s="19" t="n"/>
      <c r="L1596" s="19" t="n"/>
      <c r="M1596" s="19" t="n"/>
    </row>
    <row r="1597">
      <c r="A1597" s="19" t="n"/>
      <c r="B1597" s="19" t="n"/>
      <c r="C1597" s="19" t="n"/>
      <c r="D1597" s="19" t="n"/>
      <c r="E1597" s="19" t="n"/>
      <c r="F1597" s="19" t="n"/>
      <c r="G1597" s="19" t="n"/>
      <c r="H1597" s="19" t="n"/>
      <c r="I1597" s="19" t="n"/>
      <c r="J1597" s="19" t="n"/>
      <c r="K1597" s="19" t="n"/>
      <c r="L1597" s="19" t="n"/>
      <c r="M1597" s="19" t="n"/>
    </row>
    <row r="1598">
      <c r="A1598" s="19" t="n"/>
      <c r="B1598" s="19" t="n"/>
      <c r="C1598" s="19" t="n"/>
      <c r="D1598" s="19" t="n"/>
      <c r="E1598" s="19" t="n"/>
      <c r="F1598" s="19" t="n"/>
      <c r="G1598" s="19" t="n"/>
      <c r="H1598" s="19" t="n"/>
      <c r="I1598" s="19" t="n"/>
      <c r="J1598" s="19" t="n"/>
      <c r="K1598" s="19" t="n"/>
      <c r="L1598" s="19" t="n"/>
      <c r="M1598" s="19" t="n"/>
    </row>
    <row r="1599">
      <c r="A1599" s="19" t="n"/>
      <c r="B1599" s="19" t="n"/>
      <c r="C1599" s="19" t="n"/>
      <c r="D1599" s="19" t="n"/>
      <c r="E1599" s="19" t="n"/>
      <c r="F1599" s="19" t="n"/>
      <c r="G1599" s="19" t="n"/>
      <c r="H1599" s="19" t="n"/>
      <c r="I1599" s="19" t="n"/>
      <c r="J1599" s="19" t="n"/>
      <c r="K1599" s="19" t="n"/>
      <c r="L1599" s="19" t="n"/>
      <c r="M1599" s="19" t="n"/>
    </row>
    <row r="1600">
      <c r="A1600" s="19" t="n"/>
      <c r="B1600" s="19" t="n"/>
      <c r="C1600" s="19" t="n"/>
      <c r="D1600" s="19" t="n"/>
      <c r="E1600" s="19" t="n"/>
      <c r="F1600" s="19" t="n"/>
      <c r="G1600" s="19" t="n"/>
      <c r="H1600" s="19" t="n"/>
      <c r="I1600" s="19" t="n"/>
      <c r="J1600" s="19" t="n"/>
      <c r="K1600" s="19" t="n"/>
      <c r="L1600" s="19" t="n"/>
      <c r="M1600" s="19" t="n"/>
    </row>
    <row r="1601">
      <c r="A1601" s="19" t="n"/>
      <c r="B1601" s="19" t="n"/>
      <c r="C1601" s="19" t="n"/>
      <c r="D1601" s="19" t="n"/>
      <c r="E1601" s="19" t="n"/>
      <c r="F1601" s="19" t="n"/>
      <c r="G1601" s="19" t="n"/>
      <c r="H1601" s="19" t="n"/>
      <c r="I1601" s="19" t="n"/>
      <c r="J1601" s="19" t="n"/>
      <c r="K1601" s="19" t="n"/>
      <c r="L1601" s="19" t="n"/>
      <c r="M1601" s="19" t="n"/>
    </row>
    <row r="1602">
      <c r="A1602" s="19" t="n"/>
      <c r="B1602" s="19" t="n"/>
      <c r="C1602" s="19" t="n"/>
      <c r="D1602" s="19" t="n"/>
      <c r="E1602" s="19" t="n"/>
      <c r="F1602" s="19" t="n"/>
      <c r="G1602" s="19" t="n"/>
      <c r="H1602" s="19" t="n"/>
      <c r="I1602" s="19" t="n"/>
      <c r="J1602" s="19" t="n"/>
      <c r="K1602" s="19" t="n"/>
      <c r="L1602" s="19" t="n"/>
      <c r="M1602" s="19" t="n"/>
    </row>
    <row r="1603">
      <c r="A1603" s="19" t="n"/>
      <c r="B1603" s="19" t="n"/>
      <c r="C1603" s="19" t="n"/>
      <c r="D1603" s="19" t="n"/>
      <c r="E1603" s="19" t="n"/>
      <c r="F1603" s="19" t="n"/>
      <c r="G1603" s="19" t="n"/>
      <c r="H1603" s="19" t="n"/>
      <c r="I1603" s="19" t="n"/>
      <c r="J1603" s="19" t="n"/>
      <c r="K1603" s="19" t="n"/>
      <c r="L1603" s="19" t="n"/>
      <c r="M1603" s="19" t="n"/>
    </row>
    <row r="1604">
      <c r="A1604" s="19" t="n"/>
      <c r="B1604" s="19" t="n"/>
      <c r="C1604" s="19" t="n"/>
      <c r="D1604" s="19" t="n"/>
      <c r="E1604" s="19" t="n"/>
      <c r="F1604" s="19" t="n"/>
      <c r="G1604" s="19" t="n"/>
      <c r="H1604" s="19" t="n"/>
      <c r="I1604" s="19" t="n"/>
      <c r="J1604" s="19" t="n"/>
      <c r="K1604" s="19" t="n"/>
      <c r="L1604" s="19" t="n"/>
      <c r="M1604" s="19" t="n"/>
    </row>
    <row r="1605">
      <c r="A1605" s="19" t="n"/>
      <c r="B1605" s="19" t="n"/>
      <c r="C1605" s="19" t="n"/>
      <c r="D1605" s="19" t="n"/>
      <c r="E1605" s="19" t="n"/>
      <c r="F1605" s="19" t="n"/>
      <c r="G1605" s="19" t="n"/>
      <c r="H1605" s="19" t="n"/>
      <c r="I1605" s="19" t="n"/>
      <c r="J1605" s="19" t="n"/>
      <c r="K1605" s="19" t="n"/>
      <c r="L1605" s="19" t="n"/>
      <c r="M1605" s="19" t="n"/>
    </row>
    <row r="1606">
      <c r="A1606" s="19" t="n"/>
      <c r="B1606" s="19" t="n"/>
      <c r="C1606" s="19" t="n"/>
      <c r="D1606" s="19" t="n"/>
      <c r="E1606" s="19" t="n"/>
      <c r="F1606" s="19" t="n"/>
      <c r="G1606" s="19" t="n"/>
      <c r="H1606" s="19" t="n"/>
      <c r="I1606" s="19" t="n"/>
      <c r="J1606" s="19" t="n"/>
      <c r="K1606" s="19" t="n"/>
      <c r="L1606" s="19" t="n"/>
      <c r="M1606" s="19" t="n"/>
    </row>
    <row r="1607">
      <c r="A1607" s="19" t="n"/>
      <c r="B1607" s="19" t="n"/>
      <c r="C1607" s="19" t="n"/>
      <c r="D1607" s="19" t="n"/>
      <c r="E1607" s="19" t="n"/>
      <c r="F1607" s="19" t="n"/>
      <c r="G1607" s="19" t="n"/>
      <c r="H1607" s="19" t="n"/>
      <c r="I1607" s="19" t="n"/>
      <c r="J1607" s="19" t="n"/>
      <c r="K1607" s="19" t="n"/>
      <c r="L1607" s="19" t="n"/>
      <c r="M1607" s="19" t="n"/>
    </row>
    <row r="1608">
      <c r="A1608" s="19" t="n"/>
      <c r="B1608" s="19" t="n"/>
      <c r="C1608" s="19" t="n"/>
      <c r="D1608" s="19" t="n"/>
      <c r="E1608" s="19" t="n"/>
      <c r="F1608" s="19" t="n"/>
      <c r="G1608" s="19" t="n"/>
      <c r="H1608" s="19" t="n"/>
      <c r="I1608" s="19" t="n"/>
      <c r="J1608" s="19" t="n"/>
      <c r="K1608" s="19" t="n"/>
      <c r="L1608" s="19" t="n"/>
      <c r="M1608" s="19" t="n"/>
    </row>
    <row r="1609">
      <c r="A1609" s="19" t="n"/>
      <c r="B1609" s="19" t="n"/>
      <c r="C1609" s="19" t="n"/>
      <c r="D1609" s="19" t="n"/>
      <c r="E1609" s="19" t="n"/>
      <c r="F1609" s="19" t="n"/>
      <c r="G1609" s="19" t="n"/>
      <c r="H1609" s="19" t="n"/>
      <c r="I1609" s="19" t="n"/>
      <c r="J1609" s="19" t="n"/>
      <c r="K1609" s="19" t="n"/>
      <c r="L1609" s="19" t="n"/>
      <c r="M1609" s="19" t="n"/>
    </row>
    <row r="1610">
      <c r="A1610" s="19" t="n"/>
      <c r="B1610" s="19" t="n"/>
      <c r="C1610" s="19" t="n"/>
      <c r="D1610" s="19" t="n"/>
      <c r="E1610" s="19" t="n"/>
      <c r="F1610" s="19" t="n"/>
      <c r="G1610" s="19" t="n"/>
      <c r="H1610" s="19" t="n"/>
      <c r="I1610" s="19" t="n"/>
      <c r="J1610" s="19" t="n"/>
      <c r="K1610" s="19" t="n"/>
      <c r="L1610" s="19" t="n"/>
      <c r="M1610" s="19" t="n"/>
    </row>
    <row r="1611">
      <c r="A1611" s="19" t="n"/>
      <c r="B1611" s="19" t="n"/>
      <c r="C1611" s="19" t="n"/>
      <c r="D1611" s="19" t="n"/>
      <c r="E1611" s="19" t="n"/>
      <c r="F1611" s="19" t="n"/>
      <c r="G1611" s="19" t="n"/>
      <c r="H1611" s="19" t="n"/>
      <c r="I1611" s="19" t="n"/>
      <c r="J1611" s="19" t="n"/>
      <c r="K1611" s="19" t="n"/>
      <c r="L1611" s="19" t="n"/>
      <c r="M1611" s="19" t="n"/>
    </row>
    <row r="1612">
      <c r="A1612" s="19" t="n"/>
      <c r="B1612" s="19" t="n"/>
      <c r="C1612" s="19" t="n"/>
      <c r="D1612" s="19" t="n"/>
      <c r="E1612" s="19" t="n"/>
      <c r="F1612" s="19" t="n"/>
      <c r="G1612" s="19" t="n"/>
      <c r="H1612" s="19" t="n"/>
      <c r="I1612" s="19" t="n"/>
      <c r="J1612" s="19" t="n"/>
      <c r="K1612" s="19" t="n"/>
      <c r="L1612" s="19" t="n"/>
      <c r="M1612" s="19" t="n"/>
    </row>
    <row r="1613">
      <c r="A1613" s="19" t="n"/>
      <c r="B1613" s="19" t="n"/>
      <c r="C1613" s="19" t="n"/>
      <c r="D1613" s="19" t="n"/>
      <c r="E1613" s="19" t="n"/>
      <c r="F1613" s="19" t="n"/>
      <c r="G1613" s="19" t="n"/>
      <c r="H1613" s="19" t="n"/>
      <c r="I1613" s="19" t="n"/>
      <c r="J1613" s="19" t="n"/>
      <c r="K1613" s="19" t="n"/>
      <c r="L1613" s="19" t="n"/>
      <c r="M1613" s="19" t="n"/>
    </row>
    <row r="1614">
      <c r="A1614" s="19" t="n"/>
      <c r="B1614" s="19" t="n"/>
      <c r="C1614" s="19" t="n"/>
      <c r="D1614" s="19" t="n"/>
      <c r="E1614" s="19" t="n"/>
      <c r="F1614" s="19" t="n"/>
      <c r="G1614" s="19" t="n"/>
      <c r="H1614" s="19" t="n"/>
      <c r="I1614" s="19" t="n"/>
      <c r="J1614" s="19" t="n"/>
      <c r="K1614" s="19" t="n"/>
      <c r="L1614" s="19" t="n"/>
      <c r="M1614" s="19" t="n"/>
    </row>
    <row r="1615">
      <c r="A1615" s="19" t="n"/>
      <c r="B1615" s="19" t="n"/>
      <c r="C1615" s="19" t="n"/>
      <c r="D1615" s="19" t="n"/>
      <c r="E1615" s="19" t="n"/>
      <c r="F1615" s="19" t="n"/>
      <c r="G1615" s="19" t="n"/>
      <c r="H1615" s="19" t="n"/>
      <c r="I1615" s="19" t="n"/>
      <c r="J1615" s="19" t="n"/>
      <c r="K1615" s="19" t="n"/>
      <c r="L1615" s="19" t="n"/>
      <c r="M1615" s="19" t="n"/>
    </row>
    <row r="1616">
      <c r="A1616" s="19" t="n"/>
      <c r="B1616" s="19" t="n"/>
      <c r="C1616" s="19" t="n"/>
      <c r="D1616" s="19" t="n"/>
      <c r="E1616" s="19" t="n"/>
      <c r="F1616" s="19" t="n"/>
      <c r="G1616" s="19" t="n"/>
      <c r="H1616" s="19" t="n"/>
      <c r="I1616" s="19" t="n"/>
      <c r="J1616" s="19" t="n"/>
      <c r="K1616" s="19" t="n"/>
      <c r="L1616" s="19" t="n"/>
      <c r="M1616" s="19" t="n"/>
    </row>
    <row r="1617">
      <c r="A1617" s="19" t="n"/>
      <c r="B1617" s="19" t="n"/>
      <c r="C1617" s="19" t="n"/>
      <c r="D1617" s="19" t="n"/>
      <c r="E1617" s="19" t="n"/>
      <c r="F1617" s="19" t="n"/>
      <c r="G1617" s="19" t="n"/>
      <c r="H1617" s="19" t="n"/>
      <c r="I1617" s="19" t="n"/>
      <c r="J1617" s="19" t="n"/>
      <c r="K1617" s="19" t="n"/>
      <c r="L1617" s="19" t="n"/>
      <c r="M1617" s="19" t="n"/>
    </row>
    <row r="1618">
      <c r="A1618" s="19" t="n"/>
      <c r="B1618" s="19" t="n"/>
      <c r="C1618" s="19" t="n"/>
      <c r="D1618" s="19" t="n"/>
      <c r="E1618" s="19" t="n"/>
      <c r="F1618" s="19" t="n"/>
      <c r="G1618" s="19" t="n"/>
      <c r="H1618" s="19" t="n"/>
      <c r="I1618" s="19" t="n"/>
      <c r="J1618" s="19" t="n"/>
      <c r="K1618" s="19" t="n"/>
      <c r="L1618" s="19" t="n"/>
      <c r="M1618" s="19" t="n"/>
    </row>
    <row r="1619">
      <c r="A1619" s="19" t="n"/>
      <c r="B1619" s="19" t="n"/>
      <c r="C1619" s="19" t="n"/>
      <c r="D1619" s="19" t="n"/>
      <c r="E1619" s="19" t="n"/>
      <c r="F1619" s="19" t="n"/>
      <c r="G1619" s="19" t="n"/>
      <c r="H1619" s="19" t="n"/>
      <c r="I1619" s="19" t="n"/>
      <c r="J1619" s="19" t="n"/>
      <c r="K1619" s="19" t="n"/>
      <c r="L1619" s="19" t="n"/>
      <c r="M1619" s="19" t="n"/>
    </row>
    <row r="1620">
      <c r="A1620" s="19" t="n"/>
      <c r="B1620" s="19" t="n"/>
      <c r="C1620" s="19" t="n"/>
      <c r="D1620" s="19" t="n"/>
      <c r="E1620" s="19" t="n"/>
      <c r="F1620" s="19" t="n"/>
      <c r="G1620" s="19" t="n"/>
      <c r="H1620" s="19" t="n"/>
      <c r="I1620" s="19" t="n"/>
      <c r="J1620" s="19" t="n"/>
      <c r="K1620" s="19" t="n"/>
      <c r="L1620" s="19" t="n"/>
      <c r="M1620" s="19" t="n"/>
    </row>
    <row r="1621">
      <c r="A1621" s="19" t="n"/>
      <c r="B1621" s="19" t="n"/>
      <c r="C1621" s="19" t="n"/>
      <c r="D1621" s="19" t="n"/>
      <c r="E1621" s="19" t="n"/>
      <c r="F1621" s="19" t="n"/>
      <c r="G1621" s="19" t="n"/>
      <c r="H1621" s="19" t="n"/>
      <c r="I1621" s="19" t="n"/>
      <c r="J1621" s="19" t="n"/>
      <c r="K1621" s="19" t="n"/>
      <c r="L1621" s="19" t="n"/>
      <c r="M1621" s="19" t="n"/>
    </row>
    <row r="1622">
      <c r="A1622" s="19" t="n"/>
      <c r="B1622" s="19" t="n"/>
      <c r="C1622" s="19" t="n"/>
      <c r="D1622" s="19" t="n"/>
      <c r="E1622" s="19" t="n"/>
      <c r="F1622" s="19" t="n"/>
      <c r="G1622" s="19" t="n"/>
      <c r="H1622" s="19" t="n"/>
      <c r="I1622" s="19" t="n"/>
      <c r="J1622" s="19" t="n"/>
      <c r="K1622" s="19" t="n"/>
      <c r="L1622" s="19" t="n"/>
      <c r="M1622" s="19" t="n"/>
    </row>
    <row r="1623">
      <c r="A1623" s="19" t="n"/>
      <c r="B1623" s="19" t="n"/>
      <c r="C1623" s="19" t="n"/>
      <c r="D1623" s="19" t="n"/>
      <c r="E1623" s="19" t="n"/>
      <c r="F1623" s="19" t="n"/>
      <c r="G1623" s="19" t="n"/>
      <c r="H1623" s="19" t="n"/>
      <c r="I1623" s="19" t="n"/>
      <c r="J1623" s="19" t="n"/>
      <c r="K1623" s="19" t="n"/>
      <c r="L1623" s="19" t="n"/>
      <c r="M1623" s="19" t="n"/>
    </row>
    <row r="1624">
      <c r="A1624" s="19" t="n"/>
      <c r="B1624" s="19" t="n"/>
      <c r="C1624" s="19" t="n"/>
      <c r="D1624" s="19" t="n"/>
      <c r="E1624" s="19" t="n"/>
      <c r="F1624" s="19" t="n"/>
      <c r="G1624" s="19" t="n"/>
      <c r="H1624" s="19" t="n"/>
      <c r="I1624" s="19" t="n"/>
      <c r="J1624" s="19" t="n"/>
      <c r="K1624" s="19" t="n"/>
      <c r="L1624" s="19" t="n"/>
      <c r="M1624" s="19" t="n"/>
    </row>
    <row r="1625">
      <c r="A1625" s="19" t="n"/>
      <c r="B1625" s="19" t="n"/>
      <c r="C1625" s="19" t="n"/>
      <c r="D1625" s="19" t="n"/>
      <c r="E1625" s="19" t="n"/>
      <c r="F1625" s="19" t="n"/>
      <c r="G1625" s="19" t="n"/>
      <c r="H1625" s="19" t="n"/>
      <c r="I1625" s="19" t="n"/>
      <c r="J1625" s="19" t="n"/>
      <c r="K1625" s="19" t="n"/>
      <c r="L1625" s="19" t="n"/>
      <c r="M1625" s="19" t="n"/>
    </row>
    <row r="1626">
      <c r="A1626" s="19" t="n"/>
      <c r="B1626" s="19" t="n"/>
      <c r="C1626" s="19" t="n"/>
      <c r="D1626" s="19" t="n"/>
      <c r="E1626" s="19" t="n"/>
      <c r="F1626" s="19" t="n"/>
      <c r="G1626" s="19" t="n"/>
      <c r="H1626" s="19" t="n"/>
      <c r="I1626" s="19" t="n"/>
      <c r="J1626" s="19" t="n"/>
      <c r="K1626" s="19" t="n"/>
      <c r="L1626" s="19" t="n"/>
      <c r="M1626" s="19" t="n"/>
    </row>
    <row r="1627">
      <c r="A1627" s="19" t="n"/>
      <c r="B1627" s="19" t="n"/>
      <c r="C1627" s="19" t="n"/>
      <c r="D1627" s="19" t="n"/>
      <c r="E1627" s="19" t="n"/>
      <c r="F1627" s="19" t="n"/>
      <c r="G1627" s="19" t="n"/>
      <c r="H1627" s="19" t="n"/>
      <c r="I1627" s="19" t="n"/>
      <c r="J1627" s="19" t="n"/>
      <c r="K1627" s="19" t="n"/>
      <c r="L1627" s="19" t="n"/>
      <c r="M1627" s="19" t="n"/>
    </row>
    <row r="1628">
      <c r="A1628" s="19" t="n"/>
      <c r="B1628" s="19" t="n"/>
      <c r="C1628" s="19" t="n"/>
      <c r="D1628" s="19" t="n"/>
      <c r="E1628" s="19" t="n"/>
      <c r="F1628" s="19" t="n"/>
      <c r="G1628" s="19" t="n"/>
      <c r="H1628" s="19" t="n"/>
      <c r="I1628" s="19" t="n"/>
      <c r="J1628" s="19" t="n"/>
      <c r="K1628" s="19" t="n"/>
      <c r="L1628" s="19" t="n"/>
      <c r="M1628" s="19" t="n"/>
    </row>
    <row r="1629">
      <c r="A1629" s="19" t="n"/>
      <c r="B1629" s="19" t="n"/>
      <c r="C1629" s="19" t="n"/>
      <c r="D1629" s="19" t="n"/>
      <c r="E1629" s="19" t="n"/>
      <c r="F1629" s="19" t="n"/>
      <c r="G1629" s="19" t="n"/>
      <c r="H1629" s="19" t="n"/>
      <c r="I1629" s="19" t="n"/>
      <c r="J1629" s="19" t="n"/>
      <c r="K1629" s="19" t="n"/>
      <c r="L1629" s="19" t="n"/>
      <c r="M1629" s="19" t="n"/>
    </row>
    <row r="1630">
      <c r="A1630" s="19" t="n"/>
      <c r="B1630" s="19" t="n"/>
      <c r="C1630" s="19" t="n"/>
      <c r="D1630" s="19" t="n"/>
      <c r="E1630" s="19" t="n"/>
      <c r="F1630" s="19" t="n"/>
      <c r="G1630" s="19" t="n"/>
      <c r="H1630" s="19" t="n"/>
      <c r="I1630" s="19" t="n"/>
      <c r="J1630" s="19" t="n"/>
      <c r="K1630" s="19" t="n"/>
      <c r="L1630" s="19" t="n"/>
      <c r="M1630" s="19" t="n"/>
    </row>
    <row r="1631">
      <c r="A1631" s="19" t="n"/>
      <c r="B1631" s="19" t="n"/>
      <c r="C1631" s="19" t="n"/>
      <c r="D1631" s="19" t="n"/>
      <c r="E1631" s="19" t="n"/>
      <c r="F1631" s="19" t="n"/>
      <c r="G1631" s="19" t="n"/>
      <c r="H1631" s="19" t="n"/>
      <c r="I1631" s="19" t="n"/>
      <c r="J1631" s="19" t="n"/>
      <c r="K1631" s="19" t="n"/>
      <c r="L1631" s="19" t="n"/>
      <c r="M1631" s="19" t="n"/>
    </row>
    <row r="1632">
      <c r="A1632" s="19" t="n"/>
      <c r="B1632" s="19" t="n"/>
      <c r="C1632" s="19" t="n"/>
      <c r="D1632" s="19" t="n"/>
      <c r="E1632" s="19" t="n"/>
      <c r="F1632" s="19" t="n"/>
      <c r="G1632" s="19" t="n"/>
      <c r="H1632" s="19" t="n"/>
      <c r="I1632" s="19" t="n"/>
      <c r="J1632" s="19" t="n"/>
      <c r="K1632" s="19" t="n"/>
      <c r="L1632" s="19" t="n"/>
      <c r="M1632" s="19" t="n"/>
    </row>
    <row r="1633">
      <c r="A1633" s="19" t="n"/>
      <c r="B1633" s="19" t="n"/>
      <c r="C1633" s="19" t="n"/>
      <c r="D1633" s="19" t="n"/>
      <c r="E1633" s="19" t="n"/>
      <c r="F1633" s="19" t="n"/>
      <c r="G1633" s="19" t="n"/>
      <c r="H1633" s="19" t="n"/>
      <c r="I1633" s="19" t="n"/>
      <c r="J1633" s="19" t="n"/>
      <c r="K1633" s="19" t="n"/>
      <c r="L1633" s="19" t="n"/>
      <c r="M1633" s="19" t="n"/>
    </row>
    <row r="1634">
      <c r="A1634" s="19" t="n"/>
      <c r="B1634" s="19" t="n"/>
      <c r="C1634" s="19" t="n"/>
      <c r="D1634" s="19" t="n"/>
      <c r="E1634" s="19" t="n"/>
      <c r="F1634" s="19" t="n"/>
      <c r="G1634" s="19" t="n"/>
      <c r="H1634" s="19" t="n"/>
      <c r="I1634" s="19" t="n"/>
      <c r="J1634" s="19" t="n"/>
      <c r="K1634" s="19" t="n"/>
      <c r="L1634" s="19" t="n"/>
      <c r="M1634" s="19" t="n"/>
    </row>
    <row r="1635">
      <c r="A1635" s="19" t="n"/>
      <c r="B1635" s="19" t="n"/>
      <c r="C1635" s="19" t="n"/>
      <c r="D1635" s="19" t="n"/>
      <c r="E1635" s="19" t="n"/>
      <c r="F1635" s="19" t="n"/>
      <c r="G1635" s="19" t="n"/>
      <c r="H1635" s="19" t="n"/>
      <c r="I1635" s="19" t="n"/>
      <c r="J1635" s="19" t="n"/>
      <c r="K1635" s="19" t="n"/>
      <c r="L1635" s="19" t="n"/>
      <c r="M1635" s="19" t="n"/>
    </row>
    <row r="1636">
      <c r="A1636" s="19" t="n"/>
      <c r="B1636" s="19" t="n"/>
      <c r="C1636" s="19" t="n"/>
      <c r="D1636" s="19" t="n"/>
      <c r="E1636" s="19" t="n"/>
      <c r="F1636" s="19" t="n"/>
      <c r="G1636" s="19" t="n"/>
      <c r="H1636" s="19" t="n"/>
      <c r="I1636" s="19" t="n"/>
      <c r="J1636" s="19" t="n"/>
      <c r="K1636" s="19" t="n"/>
      <c r="L1636" s="19" t="n"/>
      <c r="M1636" s="19" t="n"/>
    </row>
    <row r="1637">
      <c r="A1637" s="19" t="n"/>
      <c r="B1637" s="19" t="n"/>
      <c r="C1637" s="19" t="n"/>
      <c r="D1637" s="19" t="n"/>
      <c r="E1637" s="19" t="n"/>
      <c r="F1637" s="19" t="n"/>
      <c r="G1637" s="19" t="n"/>
      <c r="H1637" s="19" t="n"/>
      <c r="I1637" s="19" t="n"/>
      <c r="J1637" s="19" t="n"/>
      <c r="K1637" s="19" t="n"/>
      <c r="L1637" s="19" t="n"/>
      <c r="M1637" s="19" t="n"/>
    </row>
    <row r="1638">
      <c r="A1638" s="19" t="n"/>
      <c r="B1638" s="19" t="n"/>
      <c r="C1638" s="19" t="n"/>
      <c r="D1638" s="19" t="n"/>
      <c r="E1638" s="19" t="n"/>
      <c r="F1638" s="19" t="n"/>
      <c r="G1638" s="19" t="n"/>
      <c r="H1638" s="19" t="n"/>
      <c r="I1638" s="19" t="n"/>
      <c r="J1638" s="19" t="n"/>
      <c r="K1638" s="19" t="n"/>
      <c r="L1638" s="19" t="n"/>
      <c r="M1638" s="19" t="n"/>
    </row>
    <row r="1639">
      <c r="A1639" s="19" t="n"/>
      <c r="B1639" s="19" t="n"/>
      <c r="C1639" s="19" t="n"/>
      <c r="D1639" s="19" t="n"/>
      <c r="E1639" s="19" t="n"/>
      <c r="F1639" s="19" t="n"/>
      <c r="G1639" s="19" t="n"/>
      <c r="H1639" s="19" t="n"/>
      <c r="I1639" s="19" t="n"/>
      <c r="J1639" s="19" t="n"/>
      <c r="K1639" s="19" t="n"/>
      <c r="L1639" s="19" t="n"/>
      <c r="M1639" s="19" t="n"/>
    </row>
    <row r="1640">
      <c r="A1640" s="19" t="n"/>
      <c r="B1640" s="19" t="n"/>
      <c r="C1640" s="19" t="n"/>
      <c r="D1640" s="19" t="n"/>
      <c r="E1640" s="19" t="n"/>
      <c r="F1640" s="19" t="n"/>
      <c r="G1640" s="19" t="n"/>
      <c r="H1640" s="19" t="n"/>
      <c r="I1640" s="19" t="n"/>
      <c r="J1640" s="19" t="n"/>
      <c r="K1640" s="19" t="n"/>
      <c r="L1640" s="19" t="n"/>
      <c r="M1640" s="19" t="n"/>
    </row>
    <row r="1641">
      <c r="A1641" s="19" t="n"/>
      <c r="B1641" s="19" t="n"/>
      <c r="C1641" s="19" t="n"/>
      <c r="D1641" s="19" t="n"/>
      <c r="E1641" s="19" t="n"/>
      <c r="F1641" s="19" t="n"/>
      <c r="G1641" s="19" t="n"/>
      <c r="H1641" s="19" t="n"/>
      <c r="I1641" s="19" t="n"/>
      <c r="J1641" s="19" t="n"/>
      <c r="K1641" s="19" t="n"/>
      <c r="L1641" s="19" t="n"/>
      <c r="M1641" s="19" t="n"/>
    </row>
    <row r="1642">
      <c r="A1642" s="19" t="n"/>
      <c r="B1642" s="19" t="n"/>
      <c r="C1642" s="19" t="n"/>
      <c r="D1642" s="19" t="n"/>
      <c r="E1642" s="19" t="n"/>
      <c r="F1642" s="19" t="n"/>
      <c r="G1642" s="19" t="n"/>
      <c r="H1642" s="19" t="n"/>
      <c r="I1642" s="19" t="n"/>
      <c r="J1642" s="19" t="n"/>
      <c r="K1642" s="19" t="n"/>
      <c r="L1642" s="19" t="n"/>
      <c r="M1642" s="19" t="n"/>
    </row>
    <row r="1643">
      <c r="A1643" s="19" t="n"/>
      <c r="B1643" s="19" t="n"/>
      <c r="C1643" s="19" t="n"/>
      <c r="D1643" s="19" t="n"/>
      <c r="E1643" s="19" t="n"/>
      <c r="F1643" s="19" t="n"/>
      <c r="G1643" s="19" t="n"/>
      <c r="H1643" s="19" t="n"/>
      <c r="I1643" s="19" t="n"/>
      <c r="J1643" s="19" t="n"/>
      <c r="K1643" s="19" t="n"/>
      <c r="L1643" s="19" t="n"/>
      <c r="M1643" s="19" t="n"/>
    </row>
    <row r="1644">
      <c r="A1644" s="19" t="n"/>
      <c r="B1644" s="19" t="n"/>
      <c r="C1644" s="19" t="n"/>
      <c r="D1644" s="19" t="n"/>
      <c r="E1644" s="19" t="n"/>
      <c r="F1644" s="19" t="n"/>
      <c r="G1644" s="19" t="n"/>
      <c r="H1644" s="19" t="n"/>
      <c r="I1644" s="19" t="n"/>
      <c r="J1644" s="19" t="n"/>
      <c r="K1644" s="19" t="n"/>
      <c r="L1644" s="19" t="n"/>
      <c r="M1644" s="19" t="n"/>
    </row>
    <row r="1645">
      <c r="A1645" s="19" t="n"/>
      <c r="B1645" s="19" t="n"/>
      <c r="C1645" s="19" t="n"/>
      <c r="D1645" s="19" t="n"/>
      <c r="E1645" s="19" t="n"/>
      <c r="F1645" s="19" t="n"/>
      <c r="G1645" s="19" t="n"/>
      <c r="H1645" s="19" t="n"/>
      <c r="I1645" s="19" t="n"/>
      <c r="J1645" s="19" t="n"/>
      <c r="K1645" s="19" t="n"/>
      <c r="L1645" s="19" t="n"/>
      <c r="M1645" s="19" t="n"/>
    </row>
    <row r="1646">
      <c r="A1646" s="19" t="n"/>
      <c r="B1646" s="19" t="n"/>
      <c r="C1646" s="19" t="n"/>
      <c r="D1646" s="19" t="n"/>
      <c r="E1646" s="19" t="n"/>
      <c r="F1646" s="19" t="n"/>
      <c r="G1646" s="19" t="n"/>
      <c r="H1646" s="19" t="n"/>
      <c r="I1646" s="19" t="n"/>
      <c r="J1646" s="19" t="n"/>
      <c r="K1646" s="19" t="n"/>
      <c r="L1646" s="19" t="n"/>
      <c r="M1646" s="19" t="n"/>
    </row>
    <row r="1647">
      <c r="A1647" s="19" t="n"/>
      <c r="B1647" s="19" t="n"/>
      <c r="C1647" s="19" t="n"/>
      <c r="D1647" s="19" t="n"/>
      <c r="E1647" s="19" t="n"/>
      <c r="F1647" s="19" t="n"/>
      <c r="G1647" s="19" t="n"/>
      <c r="H1647" s="19" t="n"/>
      <c r="I1647" s="19" t="n"/>
      <c r="J1647" s="19" t="n"/>
      <c r="K1647" s="19" t="n"/>
      <c r="L1647" s="19" t="n"/>
      <c r="M1647" s="19" t="n"/>
    </row>
    <row r="1648">
      <c r="A1648" s="19" t="n"/>
      <c r="B1648" s="19" t="n"/>
      <c r="C1648" s="19" t="n"/>
      <c r="D1648" s="19" t="n"/>
      <c r="E1648" s="19" t="n"/>
      <c r="F1648" s="19" t="n"/>
      <c r="G1648" s="19" t="n"/>
      <c r="H1648" s="19" t="n"/>
      <c r="I1648" s="19" t="n"/>
      <c r="J1648" s="19" t="n"/>
      <c r="K1648" s="19" t="n"/>
      <c r="L1648" s="19" t="n"/>
      <c r="M1648" s="19" t="n"/>
    </row>
    <row r="1649">
      <c r="A1649" s="19" t="n"/>
      <c r="B1649" s="19" t="n"/>
      <c r="C1649" s="19" t="n"/>
      <c r="D1649" s="19" t="n"/>
      <c r="E1649" s="19" t="n"/>
      <c r="F1649" s="19" t="n"/>
      <c r="G1649" s="19" t="n"/>
      <c r="H1649" s="19" t="n"/>
      <c r="I1649" s="19" t="n"/>
      <c r="J1649" s="19" t="n"/>
      <c r="K1649" s="19" t="n"/>
      <c r="L1649" s="19" t="n"/>
      <c r="M1649" s="19" t="n"/>
    </row>
    <row r="1650">
      <c r="A1650" s="19" t="n"/>
      <c r="B1650" s="19" t="n"/>
      <c r="C1650" s="19" t="n"/>
      <c r="D1650" s="19" t="n"/>
      <c r="E1650" s="19" t="n"/>
      <c r="F1650" s="19" t="n"/>
      <c r="G1650" s="19" t="n"/>
      <c r="H1650" s="19" t="n"/>
      <c r="I1650" s="19" t="n"/>
      <c r="J1650" s="19" t="n"/>
      <c r="K1650" s="19" t="n"/>
      <c r="L1650" s="19" t="n"/>
      <c r="M1650" s="19" t="n"/>
    </row>
    <row r="1651">
      <c r="A1651" s="19" t="n"/>
      <c r="B1651" s="19" t="n"/>
      <c r="C1651" s="19" t="n"/>
      <c r="D1651" s="19" t="n"/>
      <c r="E1651" s="19" t="n"/>
      <c r="F1651" s="19" t="n"/>
      <c r="G1651" s="19" t="n"/>
      <c r="H1651" s="19" t="n"/>
      <c r="I1651" s="19" t="n"/>
      <c r="J1651" s="19" t="n"/>
      <c r="K1651" s="19" t="n"/>
      <c r="L1651" s="19" t="n"/>
      <c r="M1651" s="19" t="n"/>
    </row>
    <row r="1652">
      <c r="A1652" s="19" t="n"/>
      <c r="B1652" s="19" t="n"/>
      <c r="C1652" s="19" t="n"/>
      <c r="D1652" s="19" t="n"/>
      <c r="E1652" s="19" t="n"/>
      <c r="F1652" s="19" t="n"/>
      <c r="G1652" s="19" t="n"/>
      <c r="H1652" s="19" t="n"/>
      <c r="I1652" s="19" t="n"/>
      <c r="J1652" s="19" t="n"/>
      <c r="K1652" s="19" t="n"/>
      <c r="L1652" s="19" t="n"/>
      <c r="M1652" s="19" t="n"/>
    </row>
    <row r="1653">
      <c r="A1653" s="19" t="n"/>
      <c r="B1653" s="19" t="n"/>
      <c r="C1653" s="19" t="n"/>
      <c r="D1653" s="19" t="n"/>
      <c r="E1653" s="19" t="n"/>
      <c r="F1653" s="19" t="n"/>
      <c r="G1653" s="19" t="n"/>
      <c r="H1653" s="19" t="n"/>
      <c r="I1653" s="19" t="n"/>
      <c r="J1653" s="19" t="n"/>
      <c r="K1653" s="19" t="n"/>
      <c r="L1653" s="19" t="n"/>
      <c r="M1653" s="19" t="n"/>
    </row>
    <row r="1654">
      <c r="A1654" s="19" t="n"/>
      <c r="B1654" s="19" t="n"/>
      <c r="C1654" s="19" t="n"/>
      <c r="D1654" s="19" t="n"/>
      <c r="E1654" s="19" t="n"/>
      <c r="F1654" s="19" t="n"/>
      <c r="G1654" s="19" t="n"/>
      <c r="H1654" s="19" t="n"/>
      <c r="I1654" s="19" t="n"/>
      <c r="J1654" s="19" t="n"/>
      <c r="K1654" s="19" t="n"/>
      <c r="L1654" s="19" t="n"/>
      <c r="M1654" s="19" t="n"/>
    </row>
    <row r="1655">
      <c r="A1655" s="19" t="n"/>
      <c r="B1655" s="19" t="n"/>
      <c r="C1655" s="19" t="n"/>
      <c r="D1655" s="19" t="n"/>
      <c r="E1655" s="19" t="n"/>
      <c r="F1655" s="19" t="n"/>
      <c r="G1655" s="19" t="n"/>
      <c r="H1655" s="19" t="n"/>
      <c r="I1655" s="19" t="n"/>
      <c r="J1655" s="19" t="n"/>
      <c r="K1655" s="19" t="n"/>
      <c r="L1655" s="19" t="n"/>
      <c r="M1655" s="19" t="n"/>
    </row>
    <row r="1656">
      <c r="A1656" s="19" t="n"/>
      <c r="B1656" s="19" t="n"/>
      <c r="C1656" s="19" t="n"/>
      <c r="D1656" s="19" t="n"/>
      <c r="E1656" s="19" t="n"/>
      <c r="F1656" s="19" t="n"/>
      <c r="G1656" s="19" t="n"/>
      <c r="H1656" s="19" t="n"/>
      <c r="I1656" s="19" t="n"/>
      <c r="J1656" s="19" t="n"/>
      <c r="K1656" s="19" t="n"/>
      <c r="L1656" s="19" t="n"/>
      <c r="M1656" s="19" t="n"/>
    </row>
    <row r="1657">
      <c r="A1657" s="19" t="n"/>
      <c r="B1657" s="19" t="n"/>
      <c r="C1657" s="19" t="n"/>
      <c r="D1657" s="19" t="n"/>
      <c r="E1657" s="19" t="n"/>
      <c r="F1657" s="19" t="n"/>
      <c r="G1657" s="19" t="n"/>
      <c r="H1657" s="19" t="n"/>
      <c r="I1657" s="19" t="n"/>
      <c r="J1657" s="19" t="n"/>
      <c r="K1657" s="19" t="n"/>
      <c r="L1657" s="19" t="n"/>
      <c r="M1657" s="19" t="n"/>
    </row>
    <row r="1658">
      <c r="A1658" s="19" t="n"/>
      <c r="B1658" s="19" t="n"/>
      <c r="C1658" s="19" t="n"/>
      <c r="D1658" s="19" t="n"/>
      <c r="E1658" s="19" t="n"/>
      <c r="F1658" s="19" t="n"/>
      <c r="G1658" s="19" t="n"/>
      <c r="H1658" s="19" t="n"/>
      <c r="I1658" s="19" t="n"/>
      <c r="J1658" s="19" t="n"/>
      <c r="K1658" s="19" t="n"/>
      <c r="L1658" s="19" t="n"/>
      <c r="M1658" s="19" t="n"/>
    </row>
    <row r="1659">
      <c r="A1659" s="19" t="n"/>
      <c r="B1659" s="19" t="n"/>
      <c r="C1659" s="19" t="n"/>
      <c r="D1659" s="19" t="n"/>
      <c r="E1659" s="19" t="n"/>
      <c r="F1659" s="19" t="n"/>
      <c r="G1659" s="19" t="n"/>
      <c r="H1659" s="19" t="n"/>
      <c r="I1659" s="19" t="n"/>
      <c r="J1659" s="19" t="n"/>
      <c r="K1659" s="19" t="n"/>
      <c r="L1659" s="19" t="n"/>
      <c r="M1659" s="19" t="n"/>
    </row>
    <row r="1660">
      <c r="A1660" s="19" t="n"/>
      <c r="B1660" s="19" t="n"/>
      <c r="C1660" s="19" t="n"/>
      <c r="D1660" s="19" t="n"/>
      <c r="E1660" s="19" t="n"/>
      <c r="F1660" s="19" t="n"/>
      <c r="G1660" s="19" t="n"/>
      <c r="H1660" s="19" t="n"/>
      <c r="I1660" s="19" t="n"/>
      <c r="J1660" s="19" t="n"/>
      <c r="K1660" s="19" t="n"/>
      <c r="L1660" s="19" t="n"/>
      <c r="M1660" s="19" t="n"/>
    </row>
    <row r="1661">
      <c r="A1661" s="19" t="n"/>
      <c r="B1661" s="19" t="n"/>
      <c r="C1661" s="19" t="n"/>
      <c r="D1661" s="19" t="n"/>
      <c r="E1661" s="19" t="n"/>
      <c r="F1661" s="19" t="n"/>
      <c r="G1661" s="19" t="n"/>
      <c r="H1661" s="19" t="n"/>
      <c r="I1661" s="19" t="n"/>
      <c r="J1661" s="19" t="n"/>
      <c r="K1661" s="19" t="n"/>
      <c r="L1661" s="19" t="n"/>
      <c r="M1661" s="19" t="n"/>
    </row>
    <row r="1662">
      <c r="A1662" s="19" t="n"/>
      <c r="B1662" s="19" t="n"/>
      <c r="C1662" s="19" t="n"/>
      <c r="D1662" s="19" t="n"/>
      <c r="E1662" s="19" t="n"/>
      <c r="F1662" s="19" t="n"/>
      <c r="G1662" s="19" t="n"/>
      <c r="H1662" s="19" t="n"/>
      <c r="I1662" s="19" t="n"/>
      <c r="J1662" s="19" t="n"/>
      <c r="K1662" s="19" t="n"/>
      <c r="L1662" s="19" t="n"/>
      <c r="M1662" s="19" t="n"/>
    </row>
    <row r="1663">
      <c r="A1663" s="19" t="n"/>
      <c r="B1663" s="19" t="n"/>
      <c r="C1663" s="19" t="n"/>
      <c r="D1663" s="19" t="n"/>
      <c r="E1663" s="19" t="n"/>
      <c r="F1663" s="19" t="n"/>
      <c r="G1663" s="19" t="n"/>
      <c r="H1663" s="19" t="n"/>
      <c r="I1663" s="19" t="n"/>
      <c r="J1663" s="19" t="n"/>
      <c r="K1663" s="19" t="n"/>
      <c r="L1663" s="19" t="n"/>
      <c r="M1663" s="19" t="n"/>
    </row>
    <row r="1664">
      <c r="A1664" s="19" t="n"/>
      <c r="B1664" s="19" t="n"/>
      <c r="C1664" s="19" t="n"/>
      <c r="D1664" s="19" t="n"/>
      <c r="E1664" s="19" t="n"/>
      <c r="F1664" s="19" t="n"/>
      <c r="G1664" s="19" t="n"/>
      <c r="H1664" s="19" t="n"/>
      <c r="I1664" s="19" t="n"/>
      <c r="J1664" s="19" t="n"/>
      <c r="K1664" s="19" t="n"/>
      <c r="L1664" s="19" t="n"/>
      <c r="M1664" s="19" t="n"/>
    </row>
    <row r="1665">
      <c r="A1665" s="19" t="n"/>
      <c r="B1665" s="19" t="n"/>
      <c r="C1665" s="19" t="n"/>
      <c r="D1665" s="19" t="n"/>
      <c r="E1665" s="19" t="n"/>
      <c r="F1665" s="19" t="n"/>
      <c r="G1665" s="19" t="n"/>
      <c r="H1665" s="19" t="n"/>
      <c r="I1665" s="19" t="n"/>
      <c r="J1665" s="19" t="n"/>
      <c r="K1665" s="19" t="n"/>
      <c r="L1665" s="19" t="n"/>
      <c r="M1665" s="19" t="n"/>
    </row>
    <row r="1666">
      <c r="A1666" s="19" t="n"/>
      <c r="B1666" s="19" t="n"/>
      <c r="C1666" s="19" t="n"/>
      <c r="D1666" s="19" t="n"/>
      <c r="E1666" s="19" t="n"/>
      <c r="F1666" s="19" t="n"/>
      <c r="G1666" s="19" t="n"/>
      <c r="H1666" s="19" t="n"/>
      <c r="I1666" s="19" t="n"/>
      <c r="J1666" s="19" t="n"/>
      <c r="K1666" s="19" t="n"/>
      <c r="L1666" s="19" t="n"/>
      <c r="M1666" s="19" t="n"/>
    </row>
    <row r="1667">
      <c r="A1667" s="19" t="n"/>
      <c r="B1667" s="19" t="n"/>
      <c r="C1667" s="19" t="n"/>
      <c r="D1667" s="19" t="n"/>
      <c r="E1667" s="19" t="n"/>
      <c r="F1667" s="19" t="n"/>
      <c r="G1667" s="19" t="n"/>
      <c r="H1667" s="19" t="n"/>
      <c r="I1667" s="19" t="n"/>
      <c r="J1667" s="19" t="n"/>
      <c r="K1667" s="19" t="n"/>
      <c r="L1667" s="19" t="n"/>
      <c r="M1667" s="19" t="n"/>
    </row>
    <row r="1668">
      <c r="A1668" s="19" t="n"/>
      <c r="B1668" s="19" t="n"/>
      <c r="C1668" s="19" t="n"/>
      <c r="D1668" s="19" t="n"/>
      <c r="E1668" s="19" t="n"/>
      <c r="F1668" s="19" t="n"/>
      <c r="G1668" s="19" t="n"/>
      <c r="H1668" s="19" t="n"/>
      <c r="I1668" s="19" t="n"/>
      <c r="J1668" s="19" t="n"/>
      <c r="K1668" s="19" t="n"/>
      <c r="L1668" s="19" t="n"/>
      <c r="M1668" s="19" t="n"/>
    </row>
    <row r="1669">
      <c r="A1669" s="19" t="n"/>
      <c r="B1669" s="19" t="n"/>
      <c r="C1669" s="19" t="n"/>
      <c r="D1669" s="19" t="n"/>
      <c r="E1669" s="19" t="n"/>
      <c r="F1669" s="19" t="n"/>
      <c r="G1669" s="19" t="n"/>
      <c r="H1669" s="19" t="n"/>
      <c r="I1669" s="19" t="n"/>
      <c r="J1669" s="19" t="n"/>
      <c r="K1669" s="19" t="n"/>
      <c r="L1669" s="19" t="n"/>
      <c r="M1669" s="19" t="n"/>
    </row>
    <row r="1670">
      <c r="A1670" s="19" t="n"/>
      <c r="B1670" s="19" t="n"/>
      <c r="C1670" s="19" t="n"/>
      <c r="D1670" s="19" t="n"/>
      <c r="E1670" s="19" t="n"/>
      <c r="F1670" s="19" t="n"/>
      <c r="G1670" s="19" t="n"/>
      <c r="H1670" s="19" t="n"/>
      <c r="I1670" s="19" t="n"/>
      <c r="J1670" s="19" t="n"/>
      <c r="K1670" s="19" t="n"/>
      <c r="L1670" s="19" t="n"/>
      <c r="M1670" s="19" t="n"/>
    </row>
    <row r="1671">
      <c r="A1671" s="19" t="n"/>
      <c r="B1671" s="19" t="n"/>
      <c r="C1671" s="19" t="n"/>
      <c r="D1671" s="19" t="n"/>
      <c r="E1671" s="19" t="n"/>
      <c r="F1671" s="19" t="n"/>
      <c r="G1671" s="19" t="n"/>
      <c r="H1671" s="19" t="n"/>
      <c r="I1671" s="19" t="n"/>
      <c r="J1671" s="19" t="n"/>
      <c r="K1671" s="19" t="n"/>
      <c r="L1671" s="19" t="n"/>
      <c r="M1671" s="19" t="n"/>
    </row>
    <row r="1672">
      <c r="A1672" s="19" t="n"/>
      <c r="B1672" s="19" t="n"/>
      <c r="C1672" s="19" t="n"/>
      <c r="D1672" s="19" t="n"/>
      <c r="E1672" s="19" t="n"/>
      <c r="F1672" s="19" t="n"/>
      <c r="G1672" s="19" t="n"/>
      <c r="H1672" s="19" t="n"/>
      <c r="I1672" s="19" t="n"/>
      <c r="J1672" s="19" t="n"/>
      <c r="K1672" s="19" t="n"/>
      <c r="L1672" s="19" t="n"/>
      <c r="M1672" s="19" t="n"/>
    </row>
    <row r="1673">
      <c r="A1673" s="19" t="n"/>
      <c r="B1673" s="19" t="n"/>
      <c r="C1673" s="19" t="n"/>
      <c r="D1673" s="19" t="n"/>
      <c r="E1673" s="19" t="n"/>
      <c r="F1673" s="19" t="n"/>
      <c r="G1673" s="19" t="n"/>
      <c r="H1673" s="19" t="n"/>
      <c r="I1673" s="19" t="n"/>
      <c r="J1673" s="19" t="n"/>
      <c r="K1673" s="19" t="n"/>
      <c r="L1673" s="19" t="n"/>
      <c r="M1673" s="19" t="n"/>
    </row>
    <row r="1674">
      <c r="A1674" s="19" t="n"/>
      <c r="B1674" s="19" t="n"/>
      <c r="C1674" s="19" t="n"/>
      <c r="D1674" s="19" t="n"/>
      <c r="E1674" s="19" t="n"/>
      <c r="F1674" s="19" t="n"/>
      <c r="G1674" s="19" t="n"/>
      <c r="H1674" s="19" t="n"/>
      <c r="I1674" s="19" t="n"/>
      <c r="J1674" s="19" t="n"/>
      <c r="K1674" s="19" t="n"/>
      <c r="L1674" s="19" t="n"/>
      <c r="M1674" s="19" t="n"/>
    </row>
    <row r="1675">
      <c r="A1675" s="19" t="n"/>
      <c r="B1675" s="19" t="n"/>
      <c r="C1675" s="19" t="n"/>
      <c r="D1675" s="19" t="n"/>
      <c r="E1675" s="19" t="n"/>
      <c r="F1675" s="19" t="n"/>
      <c r="G1675" s="19" t="n"/>
      <c r="H1675" s="19" t="n"/>
      <c r="I1675" s="19" t="n"/>
      <c r="J1675" s="19" t="n"/>
      <c r="K1675" s="19" t="n"/>
      <c r="L1675" s="19" t="n"/>
      <c r="M1675" s="19" t="n"/>
    </row>
    <row r="1676">
      <c r="A1676" s="19" t="n"/>
      <c r="B1676" s="19" t="n"/>
      <c r="C1676" s="19" t="n"/>
      <c r="D1676" s="19" t="n"/>
      <c r="E1676" s="19" t="n"/>
      <c r="F1676" s="19" t="n"/>
      <c r="G1676" s="19" t="n"/>
      <c r="H1676" s="19" t="n"/>
      <c r="I1676" s="19" t="n"/>
      <c r="J1676" s="19" t="n"/>
      <c r="K1676" s="19" t="n"/>
      <c r="L1676" s="19" t="n"/>
      <c r="M1676" s="19" t="n"/>
    </row>
    <row r="1677">
      <c r="A1677" s="19" t="n"/>
      <c r="B1677" s="19" t="n"/>
      <c r="C1677" s="19" t="n"/>
      <c r="D1677" s="19" t="n"/>
      <c r="E1677" s="19" t="n"/>
      <c r="F1677" s="19" t="n"/>
      <c r="G1677" s="19" t="n"/>
      <c r="H1677" s="19" t="n"/>
      <c r="I1677" s="19" t="n"/>
      <c r="J1677" s="19" t="n"/>
      <c r="K1677" s="19" t="n"/>
      <c r="L1677" s="19" t="n"/>
      <c r="M1677" s="19" t="n"/>
    </row>
    <row r="1678">
      <c r="A1678" s="19" t="n"/>
      <c r="B1678" s="19" t="n"/>
      <c r="C1678" s="19" t="n"/>
      <c r="D1678" s="19" t="n"/>
      <c r="E1678" s="19" t="n"/>
      <c r="F1678" s="19" t="n"/>
      <c r="G1678" s="19" t="n"/>
      <c r="H1678" s="19" t="n"/>
      <c r="I1678" s="19" t="n"/>
      <c r="J1678" s="19" t="n"/>
      <c r="K1678" s="19" t="n"/>
      <c r="L1678" s="19" t="n"/>
      <c r="M1678" s="19" t="n"/>
    </row>
    <row r="1679">
      <c r="A1679" s="19" t="n"/>
      <c r="B1679" s="19" t="n"/>
      <c r="C1679" s="19" t="n"/>
      <c r="D1679" s="19" t="n"/>
      <c r="E1679" s="19" t="n"/>
      <c r="F1679" s="19" t="n"/>
      <c r="G1679" s="19" t="n"/>
      <c r="H1679" s="19" t="n"/>
      <c r="I1679" s="19" t="n"/>
      <c r="J1679" s="19" t="n"/>
      <c r="K1679" s="19" t="n"/>
      <c r="L1679" s="19" t="n"/>
      <c r="M1679" s="19" t="n"/>
    </row>
    <row r="1680">
      <c r="A1680" s="19" t="n"/>
      <c r="B1680" s="19" t="n"/>
      <c r="C1680" s="19" t="n"/>
      <c r="D1680" s="19" t="n"/>
      <c r="E1680" s="19" t="n"/>
      <c r="F1680" s="19" t="n"/>
      <c r="G1680" s="19" t="n"/>
      <c r="H1680" s="19" t="n"/>
      <c r="I1680" s="19" t="n"/>
      <c r="J1680" s="19" t="n"/>
      <c r="K1680" s="19" t="n"/>
      <c r="L1680" s="19" t="n"/>
      <c r="M1680" s="19" t="n"/>
    </row>
    <row r="1681">
      <c r="A1681" s="19" t="n"/>
      <c r="B1681" s="19" t="n"/>
      <c r="C1681" s="19" t="n"/>
      <c r="D1681" s="19" t="n"/>
      <c r="E1681" s="19" t="n"/>
      <c r="F1681" s="19" t="n"/>
      <c r="G1681" s="19" t="n"/>
      <c r="H1681" s="19" t="n"/>
      <c r="I1681" s="19" t="n"/>
      <c r="J1681" s="19" t="n"/>
      <c r="K1681" s="19" t="n"/>
      <c r="L1681" s="19" t="n"/>
      <c r="M1681" s="19" t="n"/>
    </row>
    <row r="1682">
      <c r="A1682" s="19" t="n"/>
      <c r="B1682" s="19" t="n"/>
      <c r="C1682" s="19" t="n"/>
      <c r="D1682" s="19" t="n"/>
      <c r="E1682" s="19" t="n"/>
      <c r="F1682" s="19" t="n"/>
      <c r="G1682" s="19" t="n"/>
      <c r="H1682" s="19" t="n"/>
      <c r="I1682" s="19" t="n"/>
      <c r="J1682" s="19" t="n"/>
      <c r="K1682" s="19" t="n"/>
      <c r="L1682" s="19" t="n"/>
      <c r="M1682" s="19" t="n"/>
    </row>
    <row r="1683">
      <c r="A1683" s="19" t="n"/>
      <c r="B1683" s="19" t="n"/>
      <c r="C1683" s="19" t="n"/>
      <c r="D1683" s="19" t="n"/>
      <c r="E1683" s="19" t="n"/>
      <c r="F1683" s="19" t="n"/>
      <c r="G1683" s="19" t="n"/>
      <c r="H1683" s="19" t="n"/>
      <c r="I1683" s="19" t="n"/>
      <c r="J1683" s="19" t="n"/>
      <c r="K1683" s="19" t="n"/>
      <c r="L1683" s="19" t="n"/>
      <c r="M1683" s="19" t="n"/>
    </row>
    <row r="1684">
      <c r="A1684" s="19" t="n"/>
      <c r="B1684" s="19" t="n"/>
      <c r="C1684" s="19" t="n"/>
      <c r="D1684" s="19" t="n"/>
      <c r="E1684" s="19" t="n"/>
      <c r="F1684" s="19" t="n"/>
      <c r="G1684" s="19" t="n"/>
      <c r="H1684" s="19" t="n"/>
      <c r="I1684" s="19" t="n"/>
      <c r="J1684" s="19" t="n"/>
      <c r="K1684" s="19" t="n"/>
      <c r="L1684" s="19" t="n"/>
      <c r="M1684" s="19" t="n"/>
    </row>
    <row r="1685">
      <c r="A1685" s="19" t="n"/>
      <c r="B1685" s="19" t="n"/>
      <c r="C1685" s="19" t="n"/>
      <c r="D1685" s="19" t="n"/>
      <c r="E1685" s="19" t="n"/>
      <c r="F1685" s="19" t="n"/>
      <c r="G1685" s="19" t="n"/>
      <c r="H1685" s="19" t="n"/>
      <c r="I1685" s="19" t="n"/>
      <c r="J1685" s="19" t="n"/>
      <c r="K1685" s="19" t="n"/>
      <c r="L1685" s="19" t="n"/>
      <c r="M1685" s="19" t="n"/>
    </row>
    <row r="1686">
      <c r="A1686" s="19" t="n"/>
      <c r="B1686" s="19" t="n"/>
      <c r="C1686" s="19" t="n"/>
      <c r="D1686" s="19" t="n"/>
      <c r="E1686" s="19" t="n"/>
      <c r="F1686" s="19" t="n"/>
      <c r="G1686" s="19" t="n"/>
      <c r="H1686" s="19" t="n"/>
      <c r="I1686" s="19" t="n"/>
      <c r="J1686" s="19" t="n"/>
      <c r="K1686" s="19" t="n"/>
      <c r="L1686" s="19" t="n"/>
      <c r="M1686" s="19" t="n"/>
    </row>
    <row r="1687">
      <c r="A1687" s="19" t="n"/>
      <c r="B1687" s="19" t="n"/>
      <c r="C1687" s="19" t="n"/>
      <c r="D1687" s="19" t="n"/>
      <c r="E1687" s="19" t="n"/>
      <c r="F1687" s="19" t="n"/>
      <c r="G1687" s="19" t="n"/>
      <c r="H1687" s="19" t="n"/>
      <c r="I1687" s="19" t="n"/>
      <c r="J1687" s="19" t="n"/>
      <c r="K1687" s="19" t="n"/>
      <c r="L1687" s="19" t="n"/>
      <c r="M1687" s="19" t="n"/>
    </row>
    <row r="1688">
      <c r="A1688" s="19" t="n"/>
      <c r="B1688" s="19" t="n"/>
      <c r="C1688" s="19" t="n"/>
      <c r="D1688" s="19" t="n"/>
      <c r="E1688" s="19" t="n"/>
      <c r="F1688" s="19" t="n"/>
      <c r="G1688" s="19" t="n"/>
      <c r="H1688" s="19" t="n"/>
      <c r="I1688" s="19" t="n"/>
      <c r="J1688" s="19" t="n"/>
      <c r="K1688" s="19" t="n"/>
      <c r="L1688" s="19" t="n"/>
      <c r="M1688" s="19" t="n"/>
    </row>
    <row r="1689">
      <c r="A1689" s="19" t="n"/>
      <c r="B1689" s="19" t="n"/>
      <c r="C1689" s="19" t="n"/>
      <c r="D1689" s="19" t="n"/>
      <c r="E1689" s="19" t="n"/>
      <c r="F1689" s="19" t="n"/>
      <c r="G1689" s="19" t="n"/>
      <c r="H1689" s="19" t="n"/>
      <c r="I1689" s="19" t="n"/>
      <c r="J1689" s="19" t="n"/>
      <c r="K1689" s="19" t="n"/>
      <c r="L1689" s="19" t="n"/>
      <c r="M1689" s="19" t="n"/>
    </row>
    <row r="1690">
      <c r="A1690" s="19" t="n"/>
      <c r="B1690" s="19" t="n"/>
      <c r="C1690" s="19" t="n"/>
      <c r="D1690" s="19" t="n"/>
      <c r="E1690" s="19" t="n"/>
      <c r="F1690" s="19" t="n"/>
      <c r="G1690" s="19" t="n"/>
      <c r="H1690" s="19" t="n"/>
      <c r="I1690" s="19" t="n"/>
      <c r="J1690" s="19" t="n"/>
      <c r="K1690" s="19" t="n"/>
      <c r="L1690" s="19" t="n"/>
      <c r="M1690" s="19" t="n"/>
    </row>
    <row r="1691">
      <c r="A1691" s="19" t="n"/>
      <c r="B1691" s="19" t="n"/>
      <c r="C1691" s="19" t="n"/>
      <c r="D1691" s="19" t="n"/>
      <c r="E1691" s="19" t="n"/>
      <c r="F1691" s="19" t="n"/>
      <c r="G1691" s="19" t="n"/>
      <c r="H1691" s="19" t="n"/>
      <c r="I1691" s="19" t="n"/>
      <c r="J1691" s="19" t="n"/>
      <c r="K1691" s="19" t="n"/>
      <c r="L1691" s="19" t="n"/>
      <c r="M1691" s="19" t="n"/>
    </row>
    <row r="1692">
      <c r="A1692" s="19" t="n"/>
      <c r="B1692" s="19" t="n"/>
      <c r="C1692" s="19" t="n"/>
      <c r="D1692" s="19" t="n"/>
      <c r="E1692" s="19" t="n"/>
      <c r="F1692" s="19" t="n"/>
      <c r="G1692" s="19" t="n"/>
      <c r="H1692" s="19" t="n"/>
      <c r="I1692" s="19" t="n"/>
      <c r="J1692" s="19" t="n"/>
      <c r="K1692" s="19" t="n"/>
      <c r="L1692" s="19" t="n"/>
      <c r="M1692" s="19" t="n"/>
    </row>
    <row r="1693">
      <c r="A1693" s="19" t="n"/>
      <c r="B1693" s="19" t="n"/>
      <c r="C1693" s="19" t="n"/>
      <c r="D1693" s="19" t="n"/>
      <c r="E1693" s="19" t="n"/>
      <c r="F1693" s="19" t="n"/>
      <c r="G1693" s="19" t="n"/>
      <c r="H1693" s="19" t="n"/>
      <c r="I1693" s="19" t="n"/>
      <c r="J1693" s="19" t="n"/>
      <c r="K1693" s="19" t="n"/>
      <c r="L1693" s="19" t="n"/>
      <c r="M1693" s="19" t="n"/>
    </row>
    <row r="1694">
      <c r="A1694" s="19" t="n"/>
      <c r="B1694" s="19" t="n"/>
      <c r="C1694" s="19" t="n"/>
      <c r="D1694" s="19" t="n"/>
      <c r="E1694" s="19" t="n"/>
      <c r="F1694" s="19" t="n"/>
      <c r="G1694" s="19" t="n"/>
      <c r="H1694" s="19" t="n"/>
      <c r="I1694" s="19" t="n"/>
      <c r="J1694" s="19" t="n"/>
      <c r="K1694" s="19" t="n"/>
      <c r="L1694" s="19" t="n"/>
      <c r="M1694" s="19" t="n"/>
    </row>
    <row r="1695">
      <c r="A1695" s="19" t="n"/>
      <c r="B1695" s="19" t="n"/>
      <c r="C1695" s="19" t="n"/>
      <c r="D1695" s="19" t="n"/>
      <c r="E1695" s="19" t="n"/>
      <c r="F1695" s="19" t="n"/>
      <c r="G1695" s="19" t="n"/>
      <c r="H1695" s="19" t="n"/>
      <c r="I1695" s="19" t="n"/>
      <c r="J1695" s="19" t="n"/>
      <c r="K1695" s="19" t="n"/>
      <c r="L1695" s="19" t="n"/>
      <c r="M1695" s="19" t="n"/>
    </row>
    <row r="1696">
      <c r="A1696" s="19" t="n"/>
      <c r="B1696" s="19" t="n"/>
      <c r="C1696" s="19" t="n"/>
      <c r="D1696" s="19" t="n"/>
      <c r="E1696" s="19" t="n"/>
      <c r="F1696" s="19" t="n"/>
      <c r="G1696" s="19" t="n"/>
      <c r="H1696" s="19" t="n"/>
      <c r="I1696" s="19" t="n"/>
      <c r="J1696" s="19" t="n"/>
      <c r="K1696" s="19" t="n"/>
      <c r="L1696" s="19" t="n"/>
      <c r="M1696" s="19" t="n"/>
    </row>
    <row r="1697">
      <c r="A1697" s="19" t="n"/>
      <c r="B1697" s="19" t="n"/>
      <c r="C1697" s="19" t="n"/>
      <c r="D1697" s="19" t="n"/>
      <c r="E1697" s="19" t="n"/>
      <c r="F1697" s="19" t="n"/>
      <c r="G1697" s="19" t="n"/>
      <c r="H1697" s="19" t="n"/>
      <c r="I1697" s="19" t="n"/>
      <c r="J1697" s="19" t="n"/>
      <c r="K1697" s="19" t="n"/>
      <c r="L1697" s="19" t="n"/>
      <c r="M1697" s="19" t="n"/>
    </row>
    <row r="1698">
      <c r="A1698" s="19" t="n"/>
      <c r="B1698" s="19" t="n"/>
      <c r="C1698" s="19" t="n"/>
      <c r="D1698" s="19" t="n"/>
      <c r="E1698" s="19" t="n"/>
      <c r="F1698" s="19" t="n"/>
      <c r="G1698" s="19" t="n"/>
      <c r="H1698" s="19" t="n"/>
      <c r="I1698" s="19" t="n"/>
      <c r="J1698" s="19" t="n"/>
      <c r="K1698" s="19" t="n"/>
      <c r="L1698" s="19" t="n"/>
      <c r="M1698" s="19" t="n"/>
    </row>
    <row r="1699">
      <c r="A1699" s="19" t="n"/>
      <c r="B1699" s="19" t="n"/>
      <c r="C1699" s="19" t="n"/>
      <c r="D1699" s="19" t="n"/>
      <c r="E1699" s="19" t="n"/>
      <c r="F1699" s="19" t="n"/>
      <c r="G1699" s="19" t="n"/>
      <c r="H1699" s="19" t="n"/>
      <c r="I1699" s="19" t="n"/>
      <c r="J1699" s="19" t="n"/>
      <c r="K1699" s="19" t="n"/>
      <c r="L1699" s="19" t="n"/>
      <c r="M1699" s="19" t="n"/>
    </row>
    <row r="1700">
      <c r="A1700" s="19" t="n"/>
      <c r="B1700" s="19" t="n"/>
      <c r="C1700" s="19" t="n"/>
      <c r="D1700" s="19" t="n"/>
      <c r="E1700" s="19" t="n"/>
      <c r="F1700" s="19" t="n"/>
      <c r="G1700" s="19" t="n"/>
      <c r="H1700" s="19" t="n"/>
      <c r="I1700" s="19" t="n"/>
      <c r="J1700" s="19" t="n"/>
      <c r="K1700" s="19" t="n"/>
      <c r="L1700" s="19" t="n"/>
      <c r="M1700" s="19" t="n"/>
    </row>
    <row r="1701">
      <c r="A1701" s="19" t="n"/>
      <c r="B1701" s="19" t="n"/>
      <c r="C1701" s="19" t="n"/>
      <c r="D1701" s="19" t="n"/>
      <c r="E1701" s="19" t="n"/>
      <c r="F1701" s="19" t="n"/>
      <c r="G1701" s="19" t="n"/>
      <c r="H1701" s="19" t="n"/>
      <c r="I1701" s="19" t="n"/>
      <c r="J1701" s="19" t="n"/>
      <c r="K1701" s="19" t="n"/>
      <c r="L1701" s="19" t="n"/>
      <c r="M1701" s="19" t="n"/>
    </row>
    <row r="1702">
      <c r="A1702" s="19" t="n"/>
      <c r="B1702" s="19" t="n"/>
      <c r="C1702" s="19" t="n"/>
      <c r="D1702" s="19" t="n"/>
      <c r="E1702" s="19" t="n"/>
      <c r="F1702" s="19" t="n"/>
      <c r="G1702" s="19" t="n"/>
      <c r="H1702" s="19" t="n"/>
      <c r="I1702" s="19" t="n"/>
      <c r="J1702" s="19" t="n"/>
      <c r="K1702" s="19" t="n"/>
      <c r="L1702" s="19" t="n"/>
      <c r="M1702" s="19" t="n"/>
    </row>
    <row r="1703">
      <c r="A1703" s="19" t="n"/>
      <c r="B1703" s="19" t="n"/>
      <c r="C1703" s="19" t="n"/>
      <c r="D1703" s="19" t="n"/>
      <c r="E1703" s="19" t="n"/>
      <c r="F1703" s="19" t="n"/>
      <c r="G1703" s="19" t="n"/>
      <c r="H1703" s="19" t="n"/>
      <c r="I1703" s="19" t="n"/>
      <c r="J1703" s="19" t="n"/>
      <c r="K1703" s="19" t="n"/>
      <c r="L1703" s="19" t="n"/>
      <c r="M1703" s="19" t="n"/>
    </row>
    <row r="1704">
      <c r="A1704" s="19" t="n"/>
      <c r="B1704" s="19" t="n"/>
      <c r="C1704" s="19" t="n"/>
      <c r="D1704" s="19" t="n"/>
      <c r="E1704" s="19" t="n"/>
      <c r="F1704" s="19" t="n"/>
      <c r="G1704" s="19" t="n"/>
      <c r="H1704" s="19" t="n"/>
      <c r="I1704" s="19" t="n"/>
      <c r="J1704" s="19" t="n"/>
      <c r="K1704" s="19" t="n"/>
      <c r="L1704" s="19" t="n"/>
      <c r="M1704" s="19" t="n"/>
    </row>
    <row r="1705">
      <c r="A1705" s="19" t="n"/>
      <c r="B1705" s="19" t="n"/>
      <c r="C1705" s="19" t="n"/>
      <c r="D1705" s="19" t="n"/>
      <c r="E1705" s="19" t="n"/>
      <c r="F1705" s="19" t="n"/>
      <c r="G1705" s="19" t="n"/>
      <c r="H1705" s="19" t="n"/>
      <c r="I1705" s="19" t="n"/>
      <c r="J1705" s="19" t="n"/>
      <c r="K1705" s="19" t="n"/>
      <c r="L1705" s="19" t="n"/>
      <c r="M1705" s="19" t="n"/>
    </row>
    <row r="1706">
      <c r="A1706" s="19" t="n"/>
      <c r="B1706" s="19" t="n"/>
      <c r="C1706" s="19" t="n"/>
      <c r="D1706" s="19" t="n"/>
      <c r="E1706" s="19" t="n"/>
      <c r="F1706" s="19" t="n"/>
      <c r="G1706" s="19" t="n"/>
      <c r="H1706" s="19" t="n"/>
      <c r="I1706" s="19" t="n"/>
      <c r="J1706" s="19" t="n"/>
      <c r="K1706" s="19" t="n"/>
      <c r="L1706" s="19" t="n"/>
      <c r="M1706" s="19" t="n"/>
    </row>
    <row r="1707">
      <c r="A1707" s="19" t="n"/>
      <c r="B1707" s="19" t="n"/>
      <c r="C1707" s="19" t="n"/>
      <c r="D1707" s="19" t="n"/>
      <c r="E1707" s="19" t="n"/>
      <c r="F1707" s="19" t="n"/>
      <c r="G1707" s="19" t="n"/>
      <c r="H1707" s="19" t="n"/>
      <c r="I1707" s="19" t="n"/>
      <c r="J1707" s="19" t="n"/>
      <c r="K1707" s="19" t="n"/>
      <c r="L1707" s="19" t="n"/>
      <c r="M1707" s="19" t="n"/>
    </row>
    <row r="1708">
      <c r="A1708" s="19" t="n"/>
      <c r="B1708" s="19" t="n"/>
      <c r="C1708" s="19" t="n"/>
      <c r="D1708" s="19" t="n"/>
      <c r="E1708" s="19" t="n"/>
      <c r="F1708" s="19" t="n"/>
      <c r="G1708" s="19" t="n"/>
      <c r="H1708" s="19" t="n"/>
      <c r="I1708" s="19" t="n"/>
      <c r="J1708" s="19" t="n"/>
      <c r="K1708" s="19" t="n"/>
      <c r="L1708" s="19" t="n"/>
      <c r="M1708" s="19" t="n"/>
    </row>
    <row r="1709">
      <c r="A1709" s="19" t="n"/>
      <c r="B1709" s="19" t="n"/>
      <c r="C1709" s="19" t="n"/>
      <c r="D1709" s="19" t="n"/>
      <c r="E1709" s="19" t="n"/>
      <c r="F1709" s="19" t="n"/>
      <c r="G1709" s="19" t="n"/>
      <c r="H1709" s="19" t="n"/>
      <c r="I1709" s="19" t="n"/>
      <c r="J1709" s="19" t="n"/>
      <c r="K1709" s="19" t="n"/>
      <c r="L1709" s="19" t="n"/>
      <c r="M1709" s="19" t="n"/>
    </row>
    <row r="1710">
      <c r="A1710" s="19" t="n"/>
      <c r="B1710" s="19" t="n"/>
      <c r="C1710" s="19" t="n"/>
      <c r="D1710" s="19" t="n"/>
      <c r="E1710" s="19" t="n"/>
      <c r="F1710" s="19" t="n"/>
      <c r="G1710" s="19" t="n"/>
      <c r="H1710" s="19" t="n"/>
      <c r="I1710" s="19" t="n"/>
      <c r="J1710" s="19" t="n"/>
      <c r="K1710" s="19" t="n"/>
      <c r="L1710" s="19" t="n"/>
      <c r="M1710" s="19" t="n"/>
    </row>
    <row r="1711">
      <c r="A1711" s="19" t="n"/>
      <c r="B1711" s="19" t="n"/>
      <c r="C1711" s="19" t="n"/>
      <c r="D1711" s="19" t="n"/>
      <c r="E1711" s="19" t="n"/>
      <c r="F1711" s="19" t="n"/>
      <c r="G1711" s="19" t="n"/>
      <c r="H1711" s="19" t="n"/>
      <c r="I1711" s="19" t="n"/>
      <c r="J1711" s="19" t="n"/>
      <c r="K1711" s="19" t="n"/>
      <c r="L1711" s="19" t="n"/>
      <c r="M1711" s="19" t="n"/>
    </row>
    <row r="1712">
      <c r="A1712" s="19" t="n"/>
      <c r="B1712" s="19" t="n"/>
      <c r="C1712" s="19" t="n"/>
      <c r="D1712" s="19" t="n"/>
      <c r="E1712" s="19" t="n"/>
      <c r="F1712" s="19" t="n"/>
      <c r="G1712" s="19" t="n"/>
      <c r="H1712" s="19" t="n"/>
      <c r="I1712" s="19" t="n"/>
      <c r="J1712" s="19" t="n"/>
      <c r="K1712" s="19" t="n"/>
      <c r="L1712" s="19" t="n"/>
      <c r="M1712" s="19" t="n"/>
    </row>
    <row r="1713">
      <c r="A1713" s="19" t="n"/>
      <c r="B1713" s="19" t="n"/>
      <c r="C1713" s="19" t="n"/>
      <c r="D1713" s="19" t="n"/>
      <c r="E1713" s="19" t="n"/>
      <c r="F1713" s="19" t="n"/>
      <c r="G1713" s="19" t="n"/>
      <c r="H1713" s="19" t="n"/>
      <c r="I1713" s="19" t="n"/>
      <c r="J1713" s="19" t="n"/>
      <c r="K1713" s="19" t="n"/>
      <c r="L1713" s="19" t="n"/>
      <c r="M1713" s="19" t="n"/>
    </row>
    <row r="1714">
      <c r="A1714" s="19" t="n"/>
      <c r="B1714" s="19" t="n"/>
      <c r="C1714" s="19" t="n"/>
      <c r="D1714" s="19" t="n"/>
      <c r="E1714" s="19" t="n"/>
      <c r="F1714" s="19" t="n"/>
      <c r="G1714" s="19" t="n"/>
      <c r="H1714" s="19" t="n"/>
      <c r="I1714" s="19" t="n"/>
      <c r="J1714" s="19" t="n"/>
      <c r="K1714" s="19" t="n"/>
      <c r="L1714" s="19" t="n"/>
      <c r="M1714" s="19" t="n"/>
    </row>
    <row r="1715">
      <c r="A1715" s="19" t="n"/>
      <c r="B1715" s="19" t="n"/>
      <c r="C1715" s="19" t="n"/>
      <c r="D1715" s="19" t="n"/>
      <c r="E1715" s="19" t="n"/>
      <c r="F1715" s="19" t="n"/>
      <c r="G1715" s="19" t="n"/>
      <c r="H1715" s="19" t="n"/>
      <c r="I1715" s="19" t="n"/>
      <c r="J1715" s="19" t="n"/>
      <c r="K1715" s="19" t="n"/>
      <c r="L1715" s="19" t="n"/>
      <c r="M1715" s="19" t="n"/>
    </row>
    <row r="1716">
      <c r="A1716" s="19" t="n"/>
      <c r="B1716" s="19" t="n"/>
      <c r="C1716" s="19" t="n"/>
      <c r="D1716" s="19" t="n"/>
      <c r="E1716" s="19" t="n"/>
      <c r="F1716" s="19" t="n"/>
      <c r="G1716" s="19" t="n"/>
      <c r="H1716" s="19" t="n"/>
      <c r="I1716" s="19" t="n"/>
      <c r="J1716" s="19" t="n"/>
      <c r="K1716" s="19" t="n"/>
      <c r="L1716" s="19" t="n"/>
      <c r="M1716" s="19" t="n"/>
    </row>
    <row r="1717">
      <c r="A1717" s="19" t="n"/>
      <c r="B1717" s="19" t="n"/>
      <c r="C1717" s="19" t="n"/>
      <c r="D1717" s="19" t="n"/>
      <c r="E1717" s="19" t="n"/>
      <c r="F1717" s="19" t="n"/>
      <c r="G1717" s="19" t="n"/>
      <c r="H1717" s="19" t="n"/>
      <c r="I1717" s="19" t="n"/>
      <c r="J1717" s="19" t="n"/>
      <c r="K1717" s="19" t="n"/>
      <c r="L1717" s="19" t="n"/>
      <c r="M1717" s="19" t="n"/>
    </row>
    <row r="1718">
      <c r="A1718" s="19" t="n"/>
      <c r="B1718" s="19" t="n"/>
      <c r="C1718" s="19" t="n"/>
      <c r="D1718" s="19" t="n"/>
      <c r="E1718" s="19" t="n"/>
      <c r="F1718" s="19" t="n"/>
      <c r="G1718" s="19" t="n"/>
      <c r="H1718" s="19" t="n"/>
      <c r="I1718" s="19" t="n"/>
      <c r="J1718" s="19" t="n"/>
      <c r="K1718" s="19" t="n"/>
      <c r="L1718" s="19" t="n"/>
      <c r="M1718" s="19" t="n"/>
    </row>
    <row r="1719">
      <c r="A1719" s="19" t="n"/>
      <c r="B1719" s="19" t="n"/>
      <c r="C1719" s="19" t="n"/>
      <c r="D1719" s="19" t="n"/>
      <c r="E1719" s="19" t="n"/>
      <c r="F1719" s="19" t="n"/>
      <c r="G1719" s="19" t="n"/>
      <c r="H1719" s="19" t="n"/>
      <c r="I1719" s="19" t="n"/>
      <c r="J1719" s="19" t="n"/>
      <c r="K1719" s="19" t="n"/>
      <c r="L1719" s="19" t="n"/>
      <c r="M1719" s="19" t="n"/>
    </row>
    <row r="1720">
      <c r="A1720" s="19" t="n"/>
      <c r="B1720" s="19" t="n"/>
      <c r="C1720" s="19" t="n"/>
      <c r="D1720" s="19" t="n"/>
      <c r="E1720" s="19" t="n"/>
      <c r="F1720" s="19" t="n"/>
      <c r="G1720" s="19" t="n"/>
      <c r="H1720" s="19" t="n"/>
      <c r="I1720" s="19" t="n"/>
      <c r="J1720" s="19" t="n"/>
      <c r="K1720" s="19" t="n"/>
      <c r="L1720" s="19" t="n"/>
      <c r="M1720" s="19" t="n"/>
    </row>
    <row r="1721">
      <c r="A1721" s="19" t="n"/>
      <c r="B1721" s="19" t="n"/>
      <c r="C1721" s="19" t="n"/>
      <c r="D1721" s="19" t="n"/>
      <c r="E1721" s="19" t="n"/>
      <c r="F1721" s="19" t="n"/>
      <c r="G1721" s="19" t="n"/>
      <c r="H1721" s="19" t="n"/>
      <c r="I1721" s="19" t="n"/>
      <c r="J1721" s="19" t="n"/>
      <c r="K1721" s="19" t="n"/>
      <c r="L1721" s="19" t="n"/>
      <c r="M1721" s="19" t="n"/>
    </row>
    <row r="1722">
      <c r="A1722" s="19" t="n"/>
      <c r="B1722" s="19" t="n"/>
      <c r="C1722" s="19" t="n"/>
      <c r="D1722" s="19" t="n"/>
      <c r="E1722" s="19" t="n"/>
      <c r="F1722" s="19" t="n"/>
      <c r="G1722" s="19" t="n"/>
      <c r="H1722" s="19" t="n"/>
      <c r="I1722" s="19" t="n"/>
      <c r="J1722" s="19" t="n"/>
      <c r="K1722" s="19" t="n"/>
      <c r="L1722" s="19" t="n"/>
      <c r="M1722" s="19" t="n"/>
    </row>
    <row r="1723">
      <c r="A1723" s="19" t="n"/>
      <c r="B1723" s="19" t="n"/>
      <c r="C1723" s="19" t="n"/>
      <c r="D1723" s="19" t="n"/>
      <c r="E1723" s="19" t="n"/>
      <c r="F1723" s="19" t="n"/>
      <c r="G1723" s="19" t="n"/>
      <c r="H1723" s="19" t="n"/>
      <c r="I1723" s="19" t="n"/>
      <c r="J1723" s="19" t="n"/>
      <c r="K1723" s="19" t="n"/>
      <c r="L1723" s="19" t="n"/>
      <c r="M1723" s="19" t="n"/>
    </row>
    <row r="1724">
      <c r="A1724" s="19" t="n"/>
      <c r="B1724" s="19" t="n"/>
      <c r="C1724" s="19" t="n"/>
      <c r="D1724" s="19" t="n"/>
      <c r="E1724" s="19" t="n"/>
      <c r="F1724" s="19" t="n"/>
      <c r="G1724" s="19" t="n"/>
      <c r="H1724" s="19" t="n"/>
      <c r="I1724" s="19" t="n"/>
      <c r="J1724" s="19" t="n"/>
      <c r="K1724" s="19" t="n"/>
      <c r="L1724" s="19" t="n"/>
      <c r="M1724" s="19" t="n"/>
    </row>
    <row r="1725">
      <c r="A1725" s="19" t="n"/>
      <c r="B1725" s="19" t="n"/>
      <c r="C1725" s="19" t="n"/>
      <c r="D1725" s="19" t="n"/>
      <c r="E1725" s="19" t="n"/>
      <c r="F1725" s="19" t="n"/>
      <c r="G1725" s="19" t="n"/>
      <c r="H1725" s="19" t="n"/>
      <c r="I1725" s="19" t="n"/>
      <c r="J1725" s="19" t="n"/>
      <c r="K1725" s="19" t="n"/>
      <c r="L1725" s="19" t="n"/>
      <c r="M1725" s="19" t="n"/>
    </row>
    <row r="1726">
      <c r="A1726" s="19" t="n"/>
      <c r="B1726" s="19" t="n"/>
      <c r="C1726" s="19" t="n"/>
      <c r="D1726" s="19" t="n"/>
      <c r="E1726" s="19" t="n"/>
      <c r="F1726" s="19" t="n"/>
      <c r="G1726" s="19" t="n"/>
      <c r="H1726" s="19" t="n"/>
      <c r="I1726" s="19" t="n"/>
      <c r="J1726" s="19" t="n"/>
      <c r="K1726" s="19" t="n"/>
      <c r="L1726" s="19" t="n"/>
      <c r="M1726" s="19" t="n"/>
    </row>
    <row r="1727">
      <c r="A1727" s="19" t="n"/>
      <c r="B1727" s="19" t="n"/>
      <c r="C1727" s="19" t="n"/>
      <c r="D1727" s="19" t="n"/>
      <c r="E1727" s="19" t="n"/>
      <c r="F1727" s="19" t="n"/>
      <c r="G1727" s="19" t="n"/>
      <c r="H1727" s="19" t="n"/>
      <c r="I1727" s="19" t="n"/>
      <c r="J1727" s="19" t="n"/>
      <c r="K1727" s="19" t="n"/>
      <c r="L1727" s="19" t="n"/>
      <c r="M1727" s="19" t="n"/>
    </row>
    <row r="1728">
      <c r="A1728" s="19" t="n"/>
      <c r="B1728" s="19" t="n"/>
      <c r="C1728" s="19" t="n"/>
      <c r="D1728" s="19" t="n"/>
      <c r="E1728" s="19" t="n"/>
      <c r="F1728" s="19" t="n"/>
      <c r="G1728" s="19" t="n"/>
      <c r="H1728" s="19" t="n"/>
      <c r="I1728" s="19" t="n"/>
      <c r="J1728" s="19" t="n"/>
      <c r="K1728" s="19" t="n"/>
      <c r="L1728" s="19" t="n"/>
      <c r="M1728" s="19" t="n"/>
    </row>
    <row r="1729">
      <c r="A1729" s="19" t="n"/>
      <c r="B1729" s="19" t="n"/>
      <c r="C1729" s="19" t="n"/>
      <c r="D1729" s="19" t="n"/>
      <c r="E1729" s="19" t="n"/>
      <c r="F1729" s="19" t="n"/>
      <c r="G1729" s="19" t="n"/>
      <c r="H1729" s="19" t="n"/>
      <c r="I1729" s="19" t="n"/>
      <c r="J1729" s="19" t="n"/>
      <c r="K1729" s="19" t="n"/>
      <c r="L1729" s="19" t="n"/>
      <c r="M1729" s="19" t="n"/>
    </row>
    <row r="1730">
      <c r="A1730" s="19" t="n"/>
      <c r="B1730" s="19" t="n"/>
      <c r="C1730" s="19" t="n"/>
      <c r="D1730" s="19" t="n"/>
      <c r="E1730" s="19" t="n"/>
      <c r="F1730" s="19" t="n"/>
      <c r="G1730" s="19" t="n"/>
      <c r="H1730" s="19" t="n"/>
      <c r="I1730" s="19" t="n"/>
      <c r="J1730" s="19" t="n"/>
      <c r="K1730" s="19" t="n"/>
      <c r="L1730" s="19" t="n"/>
      <c r="M1730" s="19" t="n"/>
    </row>
    <row r="1731">
      <c r="A1731" s="19" t="n"/>
      <c r="B1731" s="19" t="n"/>
      <c r="C1731" s="19" t="n"/>
      <c r="D1731" s="19" t="n"/>
      <c r="E1731" s="19" t="n"/>
      <c r="F1731" s="19" t="n"/>
      <c r="G1731" s="19" t="n"/>
      <c r="H1731" s="19" t="n"/>
      <c r="I1731" s="19" t="n"/>
      <c r="J1731" s="19" t="n"/>
      <c r="K1731" s="19" t="n"/>
      <c r="L1731" s="19" t="n"/>
      <c r="M1731" s="19" t="n"/>
    </row>
    <row r="1732">
      <c r="A1732" s="19" t="n"/>
      <c r="B1732" s="19" t="n"/>
      <c r="C1732" s="19" t="n"/>
      <c r="D1732" s="19" t="n"/>
      <c r="E1732" s="19" t="n"/>
      <c r="F1732" s="19" t="n"/>
      <c r="G1732" s="19" t="n"/>
      <c r="H1732" s="19" t="n"/>
      <c r="I1732" s="19" t="n"/>
      <c r="J1732" s="19" t="n"/>
      <c r="K1732" s="19" t="n"/>
      <c r="L1732" s="19" t="n"/>
      <c r="M1732" s="19" t="n"/>
    </row>
    <row r="1733">
      <c r="A1733" s="19" t="n"/>
      <c r="B1733" s="19" t="n"/>
      <c r="C1733" s="19" t="n"/>
      <c r="D1733" s="19" t="n"/>
      <c r="E1733" s="19" t="n"/>
      <c r="F1733" s="19" t="n"/>
      <c r="G1733" s="19" t="n"/>
      <c r="H1733" s="19" t="n"/>
      <c r="I1733" s="19" t="n"/>
      <c r="J1733" s="19" t="n"/>
      <c r="K1733" s="19" t="n"/>
      <c r="L1733" s="19" t="n"/>
      <c r="M1733" s="19" t="n"/>
    </row>
    <row r="1734">
      <c r="A1734" s="19" t="n"/>
      <c r="B1734" s="19" t="n"/>
      <c r="C1734" s="19" t="n"/>
      <c r="D1734" s="19" t="n"/>
      <c r="E1734" s="19" t="n"/>
      <c r="F1734" s="19" t="n"/>
      <c r="G1734" s="19" t="n"/>
      <c r="H1734" s="19" t="n"/>
      <c r="I1734" s="19" t="n"/>
      <c r="J1734" s="19" t="n"/>
      <c r="K1734" s="19" t="n"/>
      <c r="L1734" s="19" t="n"/>
      <c r="M1734" s="19" t="n"/>
    </row>
    <row r="1735">
      <c r="A1735" s="19" t="n"/>
      <c r="B1735" s="19" t="n"/>
      <c r="C1735" s="19" t="n"/>
      <c r="D1735" s="19" t="n"/>
      <c r="E1735" s="19" t="n"/>
      <c r="F1735" s="19" t="n"/>
      <c r="G1735" s="19" t="n"/>
      <c r="H1735" s="19" t="n"/>
      <c r="I1735" s="19" t="n"/>
      <c r="J1735" s="19" t="n"/>
      <c r="K1735" s="19" t="n"/>
      <c r="L1735" s="19" t="n"/>
      <c r="M1735" s="19" t="n"/>
    </row>
    <row r="1736">
      <c r="A1736" s="19" t="n"/>
      <c r="B1736" s="19" t="n"/>
      <c r="C1736" s="19" t="n"/>
      <c r="D1736" s="19" t="n"/>
      <c r="E1736" s="19" t="n"/>
      <c r="F1736" s="19" t="n"/>
      <c r="G1736" s="19" t="n"/>
      <c r="H1736" s="19" t="n"/>
      <c r="I1736" s="19" t="n"/>
      <c r="J1736" s="19" t="n"/>
      <c r="K1736" s="19" t="n"/>
      <c r="L1736" s="19" t="n"/>
      <c r="M1736" s="19" t="n"/>
    </row>
    <row r="1737">
      <c r="A1737" s="19" t="n"/>
      <c r="B1737" s="19" t="n"/>
      <c r="C1737" s="19" t="n"/>
      <c r="D1737" s="19" t="n"/>
      <c r="E1737" s="19" t="n"/>
      <c r="F1737" s="19" t="n"/>
      <c r="G1737" s="19" t="n"/>
      <c r="H1737" s="19" t="n"/>
      <c r="I1737" s="19" t="n"/>
      <c r="J1737" s="19" t="n"/>
      <c r="K1737" s="19" t="n"/>
      <c r="L1737" s="19" t="n"/>
      <c r="M1737" s="19" t="n"/>
    </row>
    <row r="1738">
      <c r="A1738" s="19" t="n"/>
      <c r="B1738" s="19" t="n"/>
      <c r="C1738" s="19" t="n"/>
      <c r="D1738" s="19" t="n"/>
      <c r="E1738" s="19" t="n"/>
      <c r="F1738" s="19" t="n"/>
      <c r="G1738" s="19" t="n"/>
      <c r="H1738" s="19" t="n"/>
      <c r="I1738" s="19" t="n"/>
      <c r="J1738" s="19" t="n"/>
      <c r="K1738" s="19" t="n"/>
      <c r="L1738" s="19" t="n"/>
      <c r="M1738" s="19" t="n"/>
    </row>
    <row r="1739">
      <c r="A1739" s="19" t="n"/>
      <c r="B1739" s="19" t="n"/>
      <c r="C1739" s="19" t="n"/>
      <c r="D1739" s="19" t="n"/>
      <c r="E1739" s="19" t="n"/>
      <c r="F1739" s="19" t="n"/>
      <c r="G1739" s="19" t="n"/>
      <c r="H1739" s="19" t="n"/>
      <c r="I1739" s="19" t="n"/>
      <c r="J1739" s="19" t="n"/>
      <c r="K1739" s="19" t="n"/>
      <c r="L1739" s="19" t="n"/>
      <c r="M1739" s="19" t="n"/>
    </row>
    <row r="1740">
      <c r="A1740" s="19" t="n"/>
      <c r="B1740" s="19" t="n"/>
      <c r="C1740" s="19" t="n"/>
      <c r="D1740" s="19" t="n"/>
      <c r="E1740" s="19" t="n"/>
      <c r="F1740" s="19" t="n"/>
      <c r="G1740" s="19" t="n"/>
      <c r="H1740" s="19" t="n"/>
      <c r="I1740" s="19" t="n"/>
      <c r="J1740" s="19" t="n"/>
      <c r="K1740" s="19" t="n"/>
      <c r="L1740" s="19" t="n"/>
      <c r="M1740" s="19" t="n"/>
    </row>
    <row r="1741">
      <c r="A1741" s="19" t="n"/>
      <c r="B1741" s="19" t="n"/>
      <c r="C1741" s="19" t="n"/>
      <c r="D1741" s="19" t="n"/>
      <c r="E1741" s="19" t="n"/>
      <c r="F1741" s="19" t="n"/>
      <c r="G1741" s="19" t="n"/>
      <c r="H1741" s="19" t="n"/>
      <c r="I1741" s="19" t="n"/>
      <c r="J1741" s="19" t="n"/>
      <c r="K1741" s="19" t="n"/>
      <c r="L1741" s="19" t="n"/>
      <c r="M1741" s="19" t="n"/>
    </row>
    <row r="1742">
      <c r="A1742" s="19" t="n"/>
      <c r="B1742" s="19" t="n"/>
      <c r="C1742" s="19" t="n"/>
      <c r="D1742" s="19" t="n"/>
      <c r="E1742" s="19" t="n"/>
      <c r="F1742" s="19" t="n"/>
      <c r="G1742" s="19" t="n"/>
      <c r="H1742" s="19" t="n"/>
      <c r="I1742" s="19" t="n"/>
      <c r="J1742" s="19" t="n"/>
      <c r="K1742" s="19" t="n"/>
      <c r="L1742" s="19" t="n"/>
      <c r="M1742" s="19" t="n"/>
    </row>
    <row r="1743">
      <c r="A1743" s="19" t="n"/>
      <c r="B1743" s="19" t="n"/>
      <c r="C1743" s="19" t="n"/>
      <c r="D1743" s="19" t="n"/>
      <c r="E1743" s="19" t="n"/>
      <c r="F1743" s="19" t="n"/>
      <c r="G1743" s="19" t="n"/>
      <c r="H1743" s="19" t="n"/>
      <c r="I1743" s="19" t="n"/>
      <c r="J1743" s="19" t="n"/>
      <c r="K1743" s="19" t="n"/>
      <c r="L1743" s="19" t="n"/>
      <c r="M1743" s="19" t="n"/>
    </row>
    <row r="1744">
      <c r="A1744" s="19" t="n"/>
      <c r="B1744" s="19" t="n"/>
      <c r="C1744" s="19" t="n"/>
      <c r="D1744" s="19" t="n"/>
      <c r="E1744" s="19" t="n"/>
      <c r="F1744" s="19" t="n"/>
      <c r="G1744" s="19" t="n"/>
      <c r="H1744" s="19" t="n"/>
      <c r="I1744" s="19" t="n"/>
      <c r="J1744" s="19" t="n"/>
      <c r="K1744" s="19" t="n"/>
      <c r="L1744" s="19" t="n"/>
      <c r="M1744" s="19" t="n"/>
    </row>
    <row r="1745">
      <c r="A1745" s="19" t="n"/>
      <c r="B1745" s="19" t="n"/>
      <c r="C1745" s="19" t="n"/>
      <c r="D1745" s="19" t="n"/>
      <c r="E1745" s="19" t="n"/>
      <c r="F1745" s="19" t="n"/>
      <c r="G1745" s="19" t="n"/>
      <c r="H1745" s="19" t="n"/>
      <c r="I1745" s="19" t="n"/>
      <c r="J1745" s="19" t="n"/>
      <c r="K1745" s="19" t="n"/>
      <c r="L1745" s="19" t="n"/>
      <c r="M1745" s="19" t="n"/>
    </row>
    <row r="1746">
      <c r="A1746" s="19" t="n"/>
      <c r="B1746" s="19" t="n"/>
      <c r="C1746" s="19" t="n"/>
      <c r="D1746" s="19" t="n"/>
      <c r="E1746" s="19" t="n"/>
      <c r="F1746" s="19" t="n"/>
      <c r="G1746" s="19" t="n"/>
      <c r="H1746" s="19" t="n"/>
      <c r="I1746" s="19" t="n"/>
      <c r="J1746" s="19" t="n"/>
      <c r="K1746" s="19" t="n"/>
      <c r="L1746" s="19" t="n"/>
      <c r="M1746" s="19" t="n"/>
    </row>
    <row r="1747">
      <c r="A1747" s="19" t="n"/>
      <c r="B1747" s="19" t="n"/>
      <c r="C1747" s="19" t="n"/>
      <c r="D1747" s="19" t="n"/>
      <c r="E1747" s="19" t="n"/>
      <c r="F1747" s="19" t="n"/>
      <c r="G1747" s="19" t="n"/>
      <c r="H1747" s="19" t="n"/>
      <c r="I1747" s="19" t="n"/>
      <c r="J1747" s="19" t="n"/>
      <c r="K1747" s="19" t="n"/>
      <c r="L1747" s="19" t="n"/>
      <c r="M1747" s="19" t="n"/>
    </row>
    <row r="1748">
      <c r="A1748" s="19" t="n"/>
      <c r="B1748" s="19" t="n"/>
      <c r="C1748" s="19" t="n"/>
      <c r="D1748" s="19" t="n"/>
      <c r="E1748" s="19" t="n"/>
      <c r="F1748" s="19" t="n"/>
      <c r="G1748" s="19" t="n"/>
      <c r="H1748" s="19" t="n"/>
      <c r="I1748" s="19" t="n"/>
      <c r="J1748" s="19" t="n"/>
      <c r="K1748" s="19" t="n"/>
      <c r="L1748" s="19" t="n"/>
      <c r="M1748" s="19" t="n"/>
    </row>
    <row r="1749">
      <c r="A1749" s="19" t="n"/>
      <c r="B1749" s="19" t="n"/>
      <c r="C1749" s="19" t="n"/>
      <c r="D1749" s="19" t="n"/>
      <c r="E1749" s="19" t="n"/>
      <c r="F1749" s="19" t="n"/>
      <c r="G1749" s="19" t="n"/>
      <c r="H1749" s="19" t="n"/>
      <c r="I1749" s="19" t="n"/>
      <c r="J1749" s="19" t="n"/>
      <c r="K1749" s="19" t="n"/>
      <c r="L1749" s="19" t="n"/>
      <c r="M1749" s="19" t="n"/>
    </row>
    <row r="1750">
      <c r="A1750" s="19" t="n"/>
      <c r="B1750" s="19" t="n"/>
      <c r="C1750" s="19" t="n"/>
      <c r="D1750" s="19" t="n"/>
      <c r="E1750" s="19" t="n"/>
      <c r="F1750" s="19" t="n"/>
      <c r="G1750" s="19" t="n"/>
      <c r="H1750" s="19" t="n"/>
      <c r="I1750" s="19" t="n"/>
      <c r="J1750" s="19" t="n"/>
      <c r="K1750" s="19" t="n"/>
      <c r="L1750" s="19" t="n"/>
      <c r="M1750" s="19" t="n"/>
    </row>
    <row r="1751">
      <c r="A1751" s="19" t="n"/>
      <c r="B1751" s="19" t="n"/>
      <c r="C1751" s="19" t="n"/>
      <c r="D1751" s="19" t="n"/>
      <c r="E1751" s="19" t="n"/>
      <c r="F1751" s="19" t="n"/>
      <c r="G1751" s="19" t="n"/>
      <c r="H1751" s="19" t="n"/>
      <c r="I1751" s="19" t="n"/>
      <c r="J1751" s="19" t="n"/>
      <c r="K1751" s="19" t="n"/>
      <c r="L1751" s="19" t="n"/>
      <c r="M1751" s="19" t="n"/>
    </row>
    <row r="1752">
      <c r="A1752" s="19" t="n"/>
      <c r="B1752" s="19" t="n"/>
      <c r="C1752" s="19" t="n"/>
      <c r="D1752" s="19" t="n"/>
      <c r="E1752" s="19" t="n"/>
      <c r="F1752" s="19" t="n"/>
      <c r="G1752" s="19" t="n"/>
      <c r="H1752" s="19" t="n"/>
      <c r="I1752" s="19" t="n"/>
      <c r="J1752" s="19" t="n"/>
      <c r="K1752" s="19" t="n"/>
      <c r="L1752" s="19" t="n"/>
      <c r="M1752" s="19" t="n"/>
    </row>
    <row r="1753">
      <c r="A1753" s="19" t="n"/>
      <c r="B1753" s="19" t="n"/>
      <c r="C1753" s="19" t="n"/>
      <c r="D1753" s="19" t="n"/>
      <c r="E1753" s="19" t="n"/>
      <c r="F1753" s="19" t="n"/>
      <c r="G1753" s="19" t="n"/>
      <c r="H1753" s="19" t="n"/>
      <c r="I1753" s="19" t="n"/>
      <c r="J1753" s="19" t="n"/>
      <c r="K1753" s="19" t="n"/>
      <c r="L1753" s="19" t="n"/>
      <c r="M1753" s="19" t="n"/>
    </row>
    <row r="1754">
      <c r="A1754" s="19" t="n"/>
      <c r="B1754" s="19" t="n"/>
      <c r="C1754" s="19" t="n"/>
      <c r="D1754" s="19" t="n"/>
      <c r="E1754" s="19" t="n"/>
      <c r="F1754" s="19" t="n"/>
      <c r="G1754" s="19" t="n"/>
      <c r="H1754" s="19" t="n"/>
      <c r="I1754" s="19" t="n"/>
      <c r="J1754" s="19" t="n"/>
      <c r="K1754" s="19" t="n"/>
      <c r="L1754" s="19" t="n"/>
      <c r="M1754" s="19" t="n"/>
    </row>
    <row r="1755">
      <c r="A1755" s="19" t="n"/>
      <c r="B1755" s="19" t="n"/>
      <c r="C1755" s="19" t="n"/>
      <c r="D1755" s="19" t="n"/>
      <c r="E1755" s="19" t="n"/>
      <c r="F1755" s="19" t="n"/>
      <c r="G1755" s="19" t="n"/>
      <c r="H1755" s="19" t="n"/>
      <c r="I1755" s="19" t="n"/>
      <c r="J1755" s="19" t="n"/>
      <c r="K1755" s="19" t="n"/>
      <c r="L1755" s="19" t="n"/>
      <c r="M1755" s="19" t="n"/>
    </row>
    <row r="1756">
      <c r="A1756" s="19" t="n"/>
      <c r="B1756" s="19" t="n"/>
      <c r="C1756" s="19" t="n"/>
      <c r="D1756" s="19" t="n"/>
      <c r="E1756" s="19" t="n"/>
      <c r="F1756" s="19" t="n"/>
      <c r="G1756" s="19" t="n"/>
      <c r="H1756" s="19" t="n"/>
      <c r="I1756" s="19" t="n"/>
      <c r="J1756" s="19" t="n"/>
      <c r="K1756" s="19" t="n"/>
      <c r="L1756" s="19" t="n"/>
      <c r="M1756" s="19" t="n"/>
    </row>
    <row r="1757">
      <c r="A1757" s="19" t="n"/>
      <c r="B1757" s="19" t="n"/>
      <c r="C1757" s="19" t="n"/>
      <c r="D1757" s="19" t="n"/>
      <c r="E1757" s="19" t="n"/>
      <c r="F1757" s="19" t="n"/>
      <c r="G1757" s="19" t="n"/>
      <c r="H1757" s="19" t="n"/>
      <c r="I1757" s="19" t="n"/>
      <c r="J1757" s="19" t="n"/>
      <c r="K1757" s="19" t="n"/>
      <c r="L1757" s="19" t="n"/>
      <c r="M1757" s="19" t="n"/>
    </row>
    <row r="1758">
      <c r="A1758" s="19" t="n"/>
      <c r="B1758" s="19" t="n"/>
      <c r="C1758" s="19" t="n"/>
      <c r="D1758" s="19" t="n"/>
      <c r="E1758" s="19" t="n"/>
      <c r="F1758" s="19" t="n"/>
      <c r="G1758" s="19" t="n"/>
      <c r="H1758" s="19" t="n"/>
      <c r="I1758" s="19" t="n"/>
      <c r="J1758" s="19" t="n"/>
      <c r="K1758" s="19" t="n"/>
      <c r="L1758" s="19" t="n"/>
      <c r="M1758" s="19" t="n"/>
    </row>
    <row r="1759">
      <c r="A1759" s="19" t="n"/>
      <c r="B1759" s="19" t="n"/>
      <c r="C1759" s="19" t="n"/>
      <c r="D1759" s="19" t="n"/>
      <c r="E1759" s="19" t="n"/>
      <c r="F1759" s="19" t="n"/>
      <c r="G1759" s="19" t="n"/>
      <c r="H1759" s="19" t="n"/>
      <c r="I1759" s="19" t="n"/>
      <c r="J1759" s="19" t="n"/>
      <c r="K1759" s="19" t="n"/>
      <c r="L1759" s="19" t="n"/>
      <c r="M1759" s="19" t="n"/>
    </row>
    <row r="1760">
      <c r="A1760" s="19" t="n"/>
      <c r="B1760" s="19" t="n"/>
      <c r="C1760" s="19" t="n"/>
      <c r="D1760" s="19" t="n"/>
      <c r="E1760" s="19" t="n"/>
      <c r="F1760" s="19" t="n"/>
      <c r="G1760" s="19" t="n"/>
      <c r="H1760" s="19" t="n"/>
      <c r="I1760" s="19" t="n"/>
      <c r="J1760" s="19" t="n"/>
      <c r="K1760" s="19" t="n"/>
      <c r="L1760" s="19" t="n"/>
      <c r="M1760" s="19" t="n"/>
    </row>
    <row r="1761">
      <c r="A1761" s="19" t="n"/>
      <c r="B1761" s="19" t="n"/>
      <c r="C1761" s="19" t="n"/>
      <c r="D1761" s="19" t="n"/>
      <c r="E1761" s="19" t="n"/>
      <c r="F1761" s="19" t="n"/>
      <c r="G1761" s="19" t="n"/>
      <c r="H1761" s="19" t="n"/>
      <c r="I1761" s="19" t="n"/>
      <c r="J1761" s="19" t="n"/>
      <c r="K1761" s="19" t="n"/>
      <c r="L1761" s="19" t="n"/>
      <c r="M1761" s="19" t="n"/>
    </row>
    <row r="1762">
      <c r="A1762" s="19" t="n"/>
      <c r="B1762" s="19" t="n"/>
      <c r="C1762" s="19" t="n"/>
      <c r="D1762" s="19" t="n"/>
      <c r="E1762" s="19" t="n"/>
      <c r="F1762" s="19" t="n"/>
      <c r="G1762" s="19" t="n"/>
      <c r="H1762" s="19" t="n"/>
      <c r="I1762" s="19" t="n"/>
      <c r="J1762" s="19" t="n"/>
      <c r="K1762" s="19" t="n"/>
      <c r="L1762" s="19" t="n"/>
      <c r="M1762" s="19" t="n"/>
    </row>
    <row r="1763">
      <c r="A1763" s="19" t="n"/>
      <c r="B1763" s="19" t="n"/>
      <c r="C1763" s="19" t="n"/>
      <c r="D1763" s="19" t="n"/>
      <c r="E1763" s="19" t="n"/>
      <c r="F1763" s="19" t="n"/>
      <c r="G1763" s="19" t="n"/>
      <c r="H1763" s="19" t="n"/>
      <c r="I1763" s="19" t="n"/>
      <c r="J1763" s="19" t="n"/>
      <c r="K1763" s="19" t="n"/>
      <c r="L1763" s="19" t="n"/>
      <c r="M1763" s="19" t="n"/>
    </row>
    <row r="1764">
      <c r="A1764" s="19" t="n"/>
      <c r="B1764" s="19" t="n"/>
      <c r="C1764" s="19" t="n"/>
      <c r="D1764" s="19" t="n"/>
      <c r="E1764" s="19" t="n"/>
      <c r="F1764" s="19" t="n"/>
      <c r="G1764" s="19" t="n"/>
      <c r="H1764" s="19" t="n"/>
      <c r="I1764" s="19" t="n"/>
      <c r="J1764" s="19" t="n"/>
      <c r="K1764" s="19" t="n"/>
      <c r="L1764" s="19" t="n"/>
      <c r="M1764" s="19" t="n"/>
    </row>
    <row r="1765">
      <c r="A1765" s="19" t="n"/>
      <c r="B1765" s="19" t="n"/>
      <c r="C1765" s="19" t="n"/>
      <c r="D1765" s="19" t="n"/>
      <c r="E1765" s="19" t="n"/>
      <c r="F1765" s="19" t="n"/>
      <c r="G1765" s="19" t="n"/>
      <c r="H1765" s="19" t="n"/>
      <c r="I1765" s="19" t="n"/>
      <c r="J1765" s="19" t="n"/>
      <c r="K1765" s="19" t="n"/>
      <c r="L1765" s="19" t="n"/>
      <c r="M1765" s="19" t="n"/>
    </row>
    <row r="1766">
      <c r="A1766" s="19" t="n"/>
      <c r="B1766" s="19" t="n"/>
      <c r="C1766" s="19" t="n"/>
      <c r="D1766" s="19" t="n"/>
      <c r="E1766" s="19" t="n"/>
      <c r="F1766" s="19" t="n"/>
      <c r="G1766" s="19" t="n"/>
      <c r="H1766" s="19" t="n"/>
      <c r="I1766" s="19" t="n"/>
      <c r="J1766" s="19" t="n"/>
      <c r="K1766" s="19" t="n"/>
      <c r="L1766" s="19" t="n"/>
      <c r="M1766" s="19" t="n"/>
    </row>
    <row r="1767">
      <c r="A1767" s="19" t="n"/>
      <c r="B1767" s="19" t="n"/>
      <c r="C1767" s="19" t="n"/>
      <c r="D1767" s="19" t="n"/>
      <c r="E1767" s="19" t="n"/>
      <c r="F1767" s="19" t="n"/>
      <c r="G1767" s="19" t="n"/>
      <c r="H1767" s="19" t="n"/>
      <c r="I1767" s="19" t="n"/>
      <c r="J1767" s="19" t="n"/>
      <c r="K1767" s="19" t="n"/>
      <c r="L1767" s="19" t="n"/>
      <c r="M1767" s="19" t="n"/>
    </row>
    <row r="1768">
      <c r="A1768" s="19" t="n"/>
      <c r="B1768" s="19" t="n"/>
      <c r="C1768" s="19" t="n"/>
      <c r="D1768" s="19" t="n"/>
      <c r="E1768" s="19" t="n"/>
      <c r="F1768" s="19" t="n"/>
      <c r="G1768" s="19" t="n"/>
      <c r="H1768" s="19" t="n"/>
      <c r="I1768" s="19" t="n"/>
      <c r="J1768" s="19" t="n"/>
      <c r="K1768" s="19" t="n"/>
      <c r="L1768" s="19" t="n"/>
      <c r="M1768" s="19" t="n"/>
    </row>
    <row r="1769">
      <c r="A1769" s="19" t="n"/>
      <c r="B1769" s="19" t="n"/>
      <c r="C1769" s="19" t="n"/>
      <c r="D1769" s="19" t="n"/>
      <c r="E1769" s="19" t="n"/>
      <c r="F1769" s="19" t="n"/>
      <c r="G1769" s="19" t="n"/>
      <c r="H1769" s="19" t="n"/>
      <c r="I1769" s="19" t="n"/>
      <c r="J1769" s="19" t="n"/>
      <c r="K1769" s="19" t="n"/>
      <c r="L1769" s="19" t="n"/>
      <c r="M1769" s="19" t="n"/>
    </row>
    <row r="1770">
      <c r="A1770" s="19" t="n"/>
      <c r="B1770" s="19" t="n"/>
      <c r="C1770" s="19" t="n"/>
      <c r="D1770" s="19" t="n"/>
      <c r="E1770" s="19" t="n"/>
      <c r="F1770" s="19" t="n"/>
      <c r="G1770" s="19" t="n"/>
      <c r="H1770" s="19" t="n"/>
      <c r="I1770" s="19" t="n"/>
      <c r="J1770" s="19" t="n"/>
      <c r="K1770" s="19" t="n"/>
      <c r="L1770" s="19" t="n"/>
      <c r="M1770" s="19" t="n"/>
    </row>
    <row r="1771">
      <c r="A1771" s="19" t="n"/>
      <c r="B1771" s="19" t="n"/>
      <c r="C1771" s="19" t="n"/>
      <c r="D1771" s="19" t="n"/>
      <c r="E1771" s="19" t="n"/>
      <c r="F1771" s="19" t="n"/>
      <c r="G1771" s="19" t="n"/>
      <c r="H1771" s="19" t="n"/>
      <c r="I1771" s="19" t="n"/>
      <c r="J1771" s="19" t="n"/>
      <c r="K1771" s="19" t="n"/>
      <c r="L1771" s="19" t="n"/>
      <c r="M1771" s="19" t="n"/>
    </row>
    <row r="1772">
      <c r="A1772" s="19" t="n"/>
      <c r="B1772" s="19" t="n"/>
      <c r="C1772" s="19" t="n"/>
      <c r="D1772" s="19" t="n"/>
      <c r="E1772" s="19" t="n"/>
      <c r="F1772" s="19" t="n"/>
      <c r="G1772" s="19" t="n"/>
      <c r="H1772" s="19" t="n"/>
      <c r="I1772" s="19" t="n"/>
      <c r="J1772" s="19" t="n"/>
      <c r="K1772" s="19" t="n"/>
      <c r="L1772" s="19" t="n"/>
      <c r="M1772" s="19" t="n"/>
    </row>
    <row r="1773">
      <c r="A1773" s="19" t="n"/>
      <c r="B1773" s="19" t="n"/>
      <c r="C1773" s="19" t="n"/>
      <c r="D1773" s="19" t="n"/>
      <c r="E1773" s="19" t="n"/>
      <c r="F1773" s="19" t="n"/>
      <c r="G1773" s="19" t="n"/>
      <c r="H1773" s="19" t="n"/>
      <c r="I1773" s="19" t="n"/>
      <c r="J1773" s="19" t="n"/>
      <c r="K1773" s="19" t="n"/>
      <c r="L1773" s="19" t="n"/>
      <c r="M1773" s="19" t="n"/>
    </row>
    <row r="1774">
      <c r="A1774" s="19" t="n"/>
      <c r="B1774" s="19" t="n"/>
      <c r="C1774" s="19" t="n"/>
      <c r="D1774" s="19" t="n"/>
      <c r="E1774" s="19" t="n"/>
      <c r="F1774" s="19" t="n"/>
      <c r="G1774" s="19" t="n"/>
      <c r="H1774" s="19" t="n"/>
      <c r="I1774" s="19" t="n"/>
      <c r="J1774" s="19" t="n"/>
      <c r="K1774" s="19" t="n"/>
      <c r="L1774" s="19" t="n"/>
      <c r="M1774" s="19" t="n"/>
    </row>
    <row r="1775">
      <c r="A1775" s="19" t="n"/>
      <c r="B1775" s="19" t="n"/>
      <c r="C1775" s="19" t="n"/>
      <c r="D1775" s="19" t="n"/>
      <c r="E1775" s="19" t="n"/>
      <c r="F1775" s="19" t="n"/>
      <c r="G1775" s="19" t="n"/>
      <c r="H1775" s="19" t="n"/>
      <c r="I1775" s="19" t="n"/>
      <c r="J1775" s="19" t="n"/>
      <c r="K1775" s="19" t="n"/>
      <c r="L1775" s="19" t="n"/>
      <c r="M1775" s="19" t="n"/>
    </row>
    <row r="1776">
      <c r="A1776" s="19" t="n"/>
      <c r="B1776" s="19" t="n"/>
      <c r="C1776" s="19" t="n"/>
      <c r="D1776" s="19" t="n"/>
      <c r="E1776" s="19" t="n"/>
      <c r="F1776" s="19" t="n"/>
      <c r="G1776" s="19" t="n"/>
      <c r="H1776" s="19" t="n"/>
      <c r="I1776" s="19" t="n"/>
      <c r="J1776" s="19" t="n"/>
      <c r="K1776" s="19" t="n"/>
      <c r="L1776" s="19" t="n"/>
      <c r="M1776" s="19" t="n"/>
    </row>
    <row r="1777">
      <c r="A1777" s="19" t="n"/>
      <c r="B1777" s="19" t="n"/>
      <c r="C1777" s="19" t="n"/>
      <c r="D1777" s="19" t="n"/>
      <c r="E1777" s="19" t="n"/>
      <c r="F1777" s="19" t="n"/>
      <c r="G1777" s="19" t="n"/>
      <c r="H1777" s="19" t="n"/>
      <c r="I1777" s="19" t="n"/>
      <c r="J1777" s="19" t="n"/>
      <c r="K1777" s="19" t="n"/>
      <c r="L1777" s="19" t="n"/>
      <c r="M1777" s="19" t="n"/>
    </row>
    <row r="1778">
      <c r="A1778" s="19" t="n"/>
      <c r="B1778" s="19" t="n"/>
      <c r="C1778" s="19" t="n"/>
      <c r="D1778" s="19" t="n"/>
      <c r="E1778" s="19" t="n"/>
      <c r="F1778" s="19" t="n"/>
      <c r="G1778" s="19" t="n"/>
      <c r="H1778" s="19" t="n"/>
      <c r="I1778" s="19" t="n"/>
      <c r="J1778" s="19" t="n"/>
      <c r="K1778" s="19" t="n"/>
      <c r="L1778" s="19" t="n"/>
      <c r="M1778" s="19" t="n"/>
    </row>
    <row r="1779">
      <c r="A1779" s="19" t="n"/>
      <c r="B1779" s="19" t="n"/>
      <c r="C1779" s="19" t="n"/>
      <c r="D1779" s="19" t="n"/>
      <c r="E1779" s="19" t="n"/>
      <c r="F1779" s="19" t="n"/>
      <c r="G1779" s="19" t="n"/>
      <c r="H1779" s="19" t="n"/>
      <c r="I1779" s="19" t="n"/>
      <c r="J1779" s="19" t="n"/>
      <c r="K1779" s="19" t="n"/>
      <c r="L1779" s="19" t="n"/>
      <c r="M1779" s="19" t="n"/>
    </row>
    <row r="1780">
      <c r="A1780" s="19" t="n"/>
      <c r="B1780" s="19" t="n"/>
      <c r="C1780" s="19" t="n"/>
      <c r="D1780" s="19" t="n"/>
      <c r="E1780" s="19" t="n"/>
      <c r="F1780" s="19" t="n"/>
      <c r="G1780" s="19" t="n"/>
      <c r="H1780" s="19" t="n"/>
      <c r="I1780" s="19" t="n"/>
      <c r="J1780" s="19" t="n"/>
      <c r="K1780" s="19" t="n"/>
      <c r="L1780" s="19" t="n"/>
      <c r="M1780" s="19" t="n"/>
    </row>
    <row r="1781">
      <c r="A1781" s="19" t="n"/>
      <c r="B1781" s="19" t="n"/>
      <c r="C1781" s="19" t="n"/>
      <c r="D1781" s="19" t="n"/>
      <c r="E1781" s="19" t="n"/>
      <c r="F1781" s="19" t="n"/>
      <c r="G1781" s="19" t="n"/>
      <c r="H1781" s="19" t="n"/>
      <c r="I1781" s="19" t="n"/>
      <c r="J1781" s="19" t="n"/>
      <c r="K1781" s="19" t="n"/>
      <c r="L1781" s="19" t="n"/>
      <c r="M1781" s="19" t="n"/>
    </row>
    <row r="1782">
      <c r="A1782" s="19" t="n"/>
      <c r="B1782" s="19" t="n"/>
      <c r="C1782" s="19" t="n"/>
      <c r="D1782" s="19" t="n"/>
      <c r="E1782" s="19" t="n"/>
      <c r="F1782" s="19" t="n"/>
      <c r="G1782" s="19" t="n"/>
      <c r="H1782" s="19" t="n"/>
      <c r="I1782" s="19" t="n"/>
      <c r="J1782" s="19" t="n"/>
      <c r="K1782" s="19" t="n"/>
      <c r="L1782" s="19" t="n"/>
      <c r="M1782" s="19" t="n"/>
    </row>
    <row r="1783">
      <c r="A1783" s="19" t="n"/>
      <c r="B1783" s="19" t="n"/>
      <c r="C1783" s="19" t="n"/>
      <c r="D1783" s="19" t="n"/>
      <c r="E1783" s="19" t="n"/>
      <c r="F1783" s="19" t="n"/>
      <c r="G1783" s="19" t="n"/>
      <c r="H1783" s="19" t="n"/>
      <c r="I1783" s="19" t="n"/>
      <c r="J1783" s="19" t="n"/>
      <c r="K1783" s="19" t="n"/>
      <c r="L1783" s="19" t="n"/>
      <c r="M1783" s="19" t="n"/>
    </row>
    <row r="1784">
      <c r="A1784" s="19" t="n"/>
      <c r="B1784" s="19" t="n"/>
      <c r="C1784" s="19" t="n"/>
      <c r="D1784" s="19" t="n"/>
      <c r="E1784" s="19" t="n"/>
      <c r="F1784" s="19" t="n"/>
      <c r="G1784" s="19" t="n"/>
      <c r="H1784" s="19" t="n"/>
      <c r="I1784" s="19" t="n"/>
      <c r="J1784" s="19" t="n"/>
      <c r="K1784" s="19" t="n"/>
      <c r="L1784" s="19" t="n"/>
      <c r="M1784" s="19" t="n"/>
    </row>
    <row r="1785">
      <c r="A1785" s="19" t="n"/>
      <c r="B1785" s="19" t="n"/>
      <c r="C1785" s="19" t="n"/>
      <c r="D1785" s="19" t="n"/>
      <c r="E1785" s="19" t="n"/>
      <c r="F1785" s="19" t="n"/>
      <c r="G1785" s="19" t="n"/>
      <c r="H1785" s="19" t="n"/>
      <c r="I1785" s="19" t="n"/>
      <c r="J1785" s="19" t="n"/>
      <c r="K1785" s="19" t="n"/>
      <c r="L1785" s="19" t="n"/>
      <c r="M1785" s="19" t="n"/>
    </row>
    <row r="1786">
      <c r="A1786" s="19" t="n"/>
      <c r="B1786" s="19" t="n"/>
      <c r="C1786" s="19" t="n"/>
      <c r="D1786" s="19" t="n"/>
      <c r="E1786" s="19" t="n"/>
      <c r="F1786" s="19" t="n"/>
      <c r="G1786" s="19" t="n"/>
      <c r="H1786" s="19" t="n"/>
      <c r="I1786" s="19" t="n"/>
      <c r="J1786" s="19" t="n"/>
      <c r="K1786" s="19" t="n"/>
      <c r="L1786" s="19" t="n"/>
      <c r="M1786" s="19" t="n"/>
    </row>
    <row r="1787">
      <c r="A1787" s="19" t="n"/>
      <c r="B1787" s="19" t="n"/>
      <c r="C1787" s="19" t="n"/>
      <c r="D1787" s="19" t="n"/>
      <c r="E1787" s="19" t="n"/>
      <c r="F1787" s="19" t="n"/>
      <c r="G1787" s="19" t="n"/>
      <c r="H1787" s="19" t="n"/>
      <c r="I1787" s="19" t="n"/>
      <c r="J1787" s="19" t="n"/>
      <c r="K1787" s="19" t="n"/>
      <c r="L1787" s="19" t="n"/>
      <c r="M1787" s="19" t="n"/>
    </row>
    <row r="1788">
      <c r="A1788" s="19" t="n"/>
      <c r="B1788" s="19" t="n"/>
      <c r="C1788" s="19" t="n"/>
      <c r="D1788" s="19" t="n"/>
      <c r="E1788" s="19" t="n"/>
      <c r="F1788" s="19" t="n"/>
      <c r="G1788" s="19" t="n"/>
      <c r="H1788" s="19" t="n"/>
      <c r="I1788" s="19" t="n"/>
      <c r="J1788" s="19" t="n"/>
      <c r="K1788" s="19" t="n"/>
      <c r="L1788" s="19" t="n"/>
      <c r="M1788" s="19" t="n"/>
    </row>
    <row r="1789">
      <c r="A1789" s="19" t="n"/>
      <c r="B1789" s="19" t="n"/>
      <c r="C1789" s="19" t="n"/>
      <c r="D1789" s="19" t="n"/>
      <c r="E1789" s="19" t="n"/>
      <c r="F1789" s="19" t="n"/>
      <c r="G1789" s="19" t="n"/>
      <c r="H1789" s="19" t="n"/>
      <c r="I1789" s="19" t="n"/>
      <c r="J1789" s="19" t="n"/>
      <c r="K1789" s="19" t="n"/>
      <c r="L1789" s="19" t="n"/>
      <c r="M1789" s="19" t="n"/>
    </row>
    <row r="1790">
      <c r="A1790" s="19" t="n"/>
      <c r="B1790" s="19" t="n"/>
      <c r="C1790" s="19" t="n"/>
      <c r="D1790" s="19" t="n"/>
      <c r="E1790" s="19" t="n"/>
      <c r="F1790" s="19" t="n"/>
      <c r="G1790" s="19" t="n"/>
      <c r="H1790" s="19" t="n"/>
      <c r="I1790" s="19" t="n"/>
      <c r="J1790" s="19" t="n"/>
      <c r="K1790" s="19" t="n"/>
      <c r="L1790" s="19" t="n"/>
      <c r="M1790" s="19" t="n"/>
    </row>
    <row r="1791">
      <c r="A1791" s="19" t="n"/>
      <c r="B1791" s="19" t="n"/>
      <c r="C1791" s="19" t="n"/>
      <c r="D1791" s="19" t="n"/>
      <c r="E1791" s="19" t="n"/>
      <c r="F1791" s="19" t="n"/>
      <c r="G1791" s="19" t="n"/>
      <c r="H1791" s="19" t="n"/>
      <c r="I1791" s="19" t="n"/>
      <c r="J1791" s="19" t="n"/>
      <c r="K1791" s="19" t="n"/>
      <c r="L1791" s="19" t="n"/>
      <c r="M1791" s="19" t="n"/>
    </row>
    <row r="1792">
      <c r="A1792" s="19" t="n"/>
      <c r="B1792" s="19" t="n"/>
      <c r="C1792" s="19" t="n"/>
      <c r="D1792" s="19" t="n"/>
      <c r="E1792" s="19" t="n"/>
      <c r="F1792" s="19" t="n"/>
      <c r="G1792" s="19" t="n"/>
      <c r="H1792" s="19" t="n"/>
      <c r="I1792" s="19" t="n"/>
      <c r="J1792" s="19" t="n"/>
      <c r="K1792" s="19" t="n"/>
      <c r="L1792" s="19" t="n"/>
      <c r="M1792" s="19" t="n"/>
    </row>
    <row r="1793">
      <c r="A1793" s="19" t="n"/>
      <c r="B1793" s="19" t="n"/>
      <c r="C1793" s="19" t="n"/>
      <c r="D1793" s="19" t="n"/>
      <c r="E1793" s="19" t="n"/>
      <c r="F1793" s="19" t="n"/>
      <c r="G1793" s="19" t="n"/>
      <c r="H1793" s="19" t="n"/>
      <c r="I1793" s="19" t="n"/>
      <c r="J1793" s="19" t="n"/>
      <c r="K1793" s="19" t="n"/>
      <c r="L1793" s="19" t="n"/>
      <c r="M1793" s="19" t="n"/>
    </row>
    <row r="1794">
      <c r="A1794" s="19" t="n"/>
      <c r="B1794" s="19" t="n"/>
      <c r="C1794" s="19" t="n"/>
      <c r="D1794" s="19" t="n"/>
      <c r="E1794" s="19" t="n"/>
      <c r="F1794" s="19" t="n"/>
      <c r="G1794" s="19" t="n"/>
      <c r="H1794" s="19" t="n"/>
      <c r="I1794" s="19" t="n"/>
      <c r="J1794" s="19" t="n"/>
      <c r="K1794" s="19" t="n"/>
      <c r="L1794" s="19" t="n"/>
      <c r="M1794" s="19" t="n"/>
    </row>
    <row r="1795">
      <c r="A1795" s="19" t="n"/>
      <c r="B1795" s="19" t="n"/>
      <c r="C1795" s="19" t="n"/>
      <c r="D1795" s="19" t="n"/>
      <c r="E1795" s="19" t="n"/>
      <c r="F1795" s="19" t="n"/>
      <c r="G1795" s="19" t="n"/>
      <c r="H1795" s="19" t="n"/>
      <c r="I1795" s="19" t="n"/>
      <c r="J1795" s="19" t="n"/>
      <c r="K1795" s="19" t="n"/>
      <c r="L1795" s="19" t="n"/>
      <c r="M1795" s="19" t="n"/>
    </row>
    <row r="1796">
      <c r="A1796" s="19" t="n"/>
      <c r="B1796" s="19" t="n"/>
      <c r="C1796" s="19" t="n"/>
      <c r="D1796" s="19" t="n"/>
      <c r="E1796" s="19" t="n"/>
      <c r="F1796" s="19" t="n"/>
      <c r="G1796" s="19" t="n"/>
      <c r="H1796" s="19" t="n"/>
      <c r="I1796" s="19" t="n"/>
      <c r="J1796" s="19" t="n"/>
      <c r="K1796" s="19" t="n"/>
      <c r="L1796" s="19" t="n"/>
      <c r="M1796" s="19" t="n"/>
    </row>
    <row r="1797">
      <c r="A1797" s="19" t="n"/>
      <c r="B1797" s="19" t="n"/>
      <c r="C1797" s="19" t="n"/>
      <c r="D1797" s="19" t="n"/>
      <c r="E1797" s="19" t="n"/>
      <c r="F1797" s="19" t="n"/>
      <c r="G1797" s="19" t="n"/>
      <c r="H1797" s="19" t="n"/>
      <c r="I1797" s="19" t="n"/>
      <c r="J1797" s="19" t="n"/>
      <c r="K1797" s="19" t="n"/>
      <c r="L1797" s="19" t="n"/>
      <c r="M1797" s="19" t="n"/>
    </row>
    <row r="1798">
      <c r="A1798" s="19" t="n"/>
      <c r="B1798" s="19" t="n"/>
      <c r="C1798" s="19" t="n"/>
      <c r="D1798" s="19" t="n"/>
      <c r="E1798" s="19" t="n"/>
      <c r="F1798" s="19" t="n"/>
      <c r="G1798" s="19" t="n"/>
      <c r="H1798" s="19" t="n"/>
      <c r="I1798" s="19" t="n"/>
      <c r="J1798" s="19" t="n"/>
      <c r="K1798" s="19" t="n"/>
      <c r="L1798" s="19" t="n"/>
      <c r="M1798" s="19" t="n"/>
    </row>
    <row r="1799">
      <c r="A1799" s="19" t="n"/>
      <c r="B1799" s="19" t="n"/>
      <c r="C1799" s="19" t="n"/>
      <c r="D1799" s="19" t="n"/>
      <c r="E1799" s="19" t="n"/>
      <c r="F1799" s="19" t="n"/>
      <c r="G1799" s="19" t="n"/>
      <c r="H1799" s="19" t="n"/>
      <c r="I1799" s="19" t="n"/>
      <c r="J1799" s="19" t="n"/>
      <c r="K1799" s="19" t="n"/>
      <c r="L1799" s="19" t="n"/>
      <c r="M1799" s="19" t="n"/>
    </row>
    <row r="1800">
      <c r="A1800" s="19" t="n"/>
      <c r="B1800" s="19" t="n"/>
      <c r="C1800" s="19" t="n"/>
      <c r="D1800" s="19" t="n"/>
      <c r="E1800" s="19" t="n"/>
      <c r="F1800" s="19" t="n"/>
      <c r="G1800" s="19" t="n"/>
      <c r="H1800" s="19" t="n"/>
      <c r="I1800" s="19" t="n"/>
      <c r="J1800" s="19" t="n"/>
      <c r="K1800" s="19" t="n"/>
      <c r="L1800" s="19" t="n"/>
      <c r="M1800" s="19" t="n"/>
    </row>
    <row r="1801">
      <c r="A1801" s="19" t="n"/>
      <c r="B1801" s="19" t="n"/>
      <c r="C1801" s="19" t="n"/>
      <c r="D1801" s="19" t="n"/>
      <c r="E1801" s="19" t="n"/>
      <c r="F1801" s="19" t="n"/>
      <c r="G1801" s="19" t="n"/>
      <c r="H1801" s="19" t="n"/>
      <c r="I1801" s="19" t="n"/>
      <c r="J1801" s="19" t="n"/>
      <c r="K1801" s="19" t="n"/>
      <c r="L1801" s="19" t="n"/>
      <c r="M1801" s="19" t="n"/>
    </row>
    <row r="1802">
      <c r="A1802" s="19" t="n"/>
      <c r="B1802" s="19" t="n"/>
      <c r="C1802" s="19" t="n"/>
      <c r="D1802" s="19" t="n"/>
      <c r="E1802" s="19" t="n"/>
      <c r="F1802" s="19" t="n"/>
      <c r="G1802" s="19" t="n"/>
      <c r="H1802" s="19" t="n"/>
      <c r="I1802" s="19" t="n"/>
      <c r="J1802" s="19" t="n"/>
      <c r="K1802" s="19" t="n"/>
      <c r="L1802" s="19" t="n"/>
      <c r="M1802" s="19" t="n"/>
    </row>
    <row r="1803">
      <c r="A1803" s="19" t="n"/>
      <c r="B1803" s="19" t="n"/>
      <c r="C1803" s="19" t="n"/>
      <c r="D1803" s="19" t="n"/>
      <c r="E1803" s="19" t="n"/>
      <c r="F1803" s="19" t="n"/>
      <c r="G1803" s="19" t="n"/>
      <c r="H1803" s="19" t="n"/>
      <c r="I1803" s="19" t="n"/>
      <c r="J1803" s="19" t="n"/>
      <c r="K1803" s="19" t="n"/>
      <c r="L1803" s="19" t="n"/>
      <c r="M1803" s="19" t="n"/>
    </row>
    <row r="1804">
      <c r="A1804" s="19" t="n"/>
      <c r="B1804" s="19" t="n"/>
      <c r="C1804" s="19" t="n"/>
      <c r="D1804" s="19" t="n"/>
      <c r="E1804" s="19" t="n"/>
      <c r="F1804" s="19" t="n"/>
      <c r="G1804" s="19" t="n"/>
      <c r="H1804" s="19" t="n"/>
      <c r="I1804" s="19" t="n"/>
      <c r="J1804" s="19" t="n"/>
      <c r="K1804" s="19" t="n"/>
      <c r="L1804" s="19" t="n"/>
      <c r="M1804" s="19" t="n"/>
    </row>
    <row r="1805">
      <c r="A1805" s="19" t="n"/>
      <c r="B1805" s="19" t="n"/>
      <c r="C1805" s="19" t="n"/>
      <c r="D1805" s="19" t="n"/>
      <c r="E1805" s="19" t="n"/>
      <c r="F1805" s="19" t="n"/>
      <c r="G1805" s="19" t="n"/>
      <c r="H1805" s="19" t="n"/>
      <c r="I1805" s="19" t="n"/>
      <c r="J1805" s="19" t="n"/>
      <c r="K1805" s="19" t="n"/>
      <c r="L1805" s="19" t="n"/>
      <c r="M1805" s="19" t="n"/>
    </row>
    <row r="1806">
      <c r="A1806" s="19" t="n"/>
      <c r="B1806" s="19" t="n"/>
      <c r="C1806" s="19" t="n"/>
      <c r="D1806" s="19" t="n"/>
      <c r="E1806" s="19" t="n"/>
      <c r="F1806" s="19" t="n"/>
      <c r="G1806" s="19" t="n"/>
      <c r="H1806" s="19" t="n"/>
      <c r="I1806" s="19" t="n"/>
      <c r="J1806" s="19" t="n"/>
      <c r="K1806" s="19" t="n"/>
      <c r="L1806" s="19" t="n"/>
      <c r="M1806" s="19" t="n"/>
    </row>
    <row r="1807">
      <c r="A1807" s="19" t="n"/>
      <c r="B1807" s="19" t="n"/>
      <c r="C1807" s="19" t="n"/>
      <c r="D1807" s="19" t="n"/>
      <c r="E1807" s="19" t="n"/>
      <c r="F1807" s="19" t="n"/>
      <c r="G1807" s="19" t="n"/>
      <c r="H1807" s="19" t="n"/>
      <c r="I1807" s="19" t="n"/>
      <c r="J1807" s="19" t="n"/>
      <c r="K1807" s="19" t="n"/>
      <c r="L1807" s="19" t="n"/>
      <c r="M1807" s="19" t="n"/>
    </row>
    <row r="1808">
      <c r="A1808" s="19" t="n"/>
      <c r="B1808" s="19" t="n"/>
      <c r="C1808" s="19" t="n"/>
      <c r="D1808" s="19" t="n"/>
      <c r="E1808" s="19" t="n"/>
      <c r="F1808" s="19" t="n"/>
      <c r="G1808" s="19" t="n"/>
      <c r="H1808" s="19" t="n"/>
      <c r="I1808" s="19" t="n"/>
      <c r="J1808" s="19" t="n"/>
      <c r="K1808" s="19" t="n"/>
      <c r="L1808" s="19" t="n"/>
      <c r="M1808" s="19" t="n"/>
    </row>
    <row r="1809">
      <c r="A1809" s="19" t="n"/>
      <c r="B1809" s="19" t="n"/>
      <c r="C1809" s="19" t="n"/>
      <c r="D1809" s="19" t="n"/>
      <c r="E1809" s="19" t="n"/>
      <c r="F1809" s="19" t="n"/>
      <c r="G1809" s="19" t="n"/>
      <c r="H1809" s="19" t="n"/>
      <c r="I1809" s="19" t="n"/>
      <c r="J1809" s="19" t="n"/>
      <c r="K1809" s="19" t="n"/>
      <c r="L1809" s="19" t="n"/>
      <c r="M1809" s="19" t="n"/>
    </row>
    <row r="1810">
      <c r="A1810" s="19" t="n"/>
      <c r="B1810" s="19" t="n"/>
      <c r="C1810" s="19" t="n"/>
      <c r="D1810" s="19" t="n"/>
      <c r="E1810" s="19" t="n"/>
      <c r="F1810" s="19" t="n"/>
      <c r="G1810" s="19" t="n"/>
      <c r="H1810" s="19" t="n"/>
      <c r="I1810" s="19" t="n"/>
      <c r="J1810" s="19" t="n"/>
      <c r="K1810" s="19" t="n"/>
      <c r="L1810" s="19" t="n"/>
      <c r="M1810" s="19" t="n"/>
    </row>
    <row r="1811">
      <c r="A1811" s="19" t="n"/>
      <c r="B1811" s="19" t="n"/>
      <c r="C1811" s="19" t="n"/>
      <c r="D1811" s="19" t="n"/>
      <c r="E1811" s="19" t="n"/>
      <c r="F1811" s="19" t="n"/>
      <c r="G1811" s="19" t="n"/>
      <c r="H1811" s="19" t="n"/>
      <c r="I1811" s="19" t="n"/>
      <c r="J1811" s="19" t="n"/>
      <c r="K1811" s="19" t="n"/>
      <c r="L1811" s="19" t="n"/>
      <c r="M1811" s="19" t="n"/>
    </row>
    <row r="1812">
      <c r="A1812" s="19" t="n"/>
      <c r="B1812" s="19" t="n"/>
      <c r="C1812" s="19" t="n"/>
      <c r="D1812" s="19" t="n"/>
      <c r="E1812" s="19" t="n"/>
      <c r="F1812" s="19" t="n"/>
      <c r="G1812" s="19" t="n"/>
      <c r="H1812" s="19" t="n"/>
      <c r="I1812" s="19" t="n"/>
      <c r="J1812" s="19" t="n"/>
      <c r="K1812" s="19" t="n"/>
      <c r="L1812" s="19" t="n"/>
      <c r="M1812" s="19" t="n"/>
    </row>
    <row r="1813">
      <c r="A1813" s="19" t="n"/>
      <c r="B1813" s="19" t="n"/>
      <c r="C1813" s="19" t="n"/>
      <c r="D1813" s="19" t="n"/>
      <c r="E1813" s="19" t="n"/>
      <c r="F1813" s="19" t="n"/>
      <c r="G1813" s="19" t="n"/>
      <c r="H1813" s="19" t="n"/>
      <c r="I1813" s="19" t="n"/>
      <c r="J1813" s="19" t="n"/>
      <c r="K1813" s="19" t="n"/>
      <c r="L1813" s="19" t="n"/>
      <c r="M1813" s="19" t="n"/>
    </row>
    <row r="1814">
      <c r="A1814" s="19" t="n"/>
      <c r="B1814" s="19" t="n"/>
      <c r="C1814" s="19" t="n"/>
      <c r="D1814" s="19" t="n"/>
      <c r="E1814" s="19" t="n"/>
      <c r="F1814" s="19" t="n"/>
      <c r="G1814" s="19" t="n"/>
      <c r="H1814" s="19" t="n"/>
      <c r="I1814" s="19" t="n"/>
      <c r="J1814" s="19" t="n"/>
      <c r="K1814" s="19" t="n"/>
      <c r="L1814" s="19" t="n"/>
      <c r="M1814" s="19" t="n"/>
    </row>
    <row r="1815">
      <c r="A1815" s="19" t="n"/>
      <c r="B1815" s="19" t="n"/>
      <c r="C1815" s="19" t="n"/>
      <c r="D1815" s="19" t="n"/>
      <c r="E1815" s="19" t="n"/>
      <c r="F1815" s="19" t="n"/>
      <c r="G1815" s="19" t="n"/>
      <c r="H1815" s="19" t="n"/>
      <c r="I1815" s="19" t="n"/>
      <c r="J1815" s="19" t="n"/>
      <c r="K1815" s="19" t="n"/>
      <c r="L1815" s="19" t="n"/>
      <c r="M1815" s="19" t="n"/>
    </row>
    <row r="1816">
      <c r="A1816" s="19" t="n"/>
      <c r="B1816" s="19" t="n"/>
      <c r="C1816" s="19" t="n"/>
      <c r="D1816" s="19" t="n"/>
      <c r="E1816" s="19" t="n"/>
      <c r="F1816" s="19" t="n"/>
      <c r="G1816" s="19" t="n"/>
      <c r="H1816" s="19" t="n"/>
      <c r="I1816" s="19" t="n"/>
      <c r="J1816" s="19" t="n"/>
      <c r="K1816" s="19" t="n"/>
      <c r="L1816" s="19" t="n"/>
      <c r="M1816" s="19" t="n"/>
    </row>
    <row r="1817">
      <c r="A1817" s="19" t="n"/>
      <c r="B1817" s="19" t="n"/>
      <c r="C1817" s="19" t="n"/>
      <c r="D1817" s="19" t="n"/>
      <c r="E1817" s="19" t="n"/>
      <c r="F1817" s="19" t="n"/>
      <c r="G1817" s="19" t="n"/>
      <c r="H1817" s="19" t="n"/>
      <c r="I1817" s="19" t="n"/>
      <c r="J1817" s="19" t="n"/>
      <c r="K1817" s="19" t="n"/>
      <c r="L1817" s="19" t="n"/>
      <c r="M1817" s="19" t="n"/>
    </row>
    <row r="1818">
      <c r="A1818" s="19" t="n"/>
      <c r="B1818" s="19" t="n"/>
      <c r="C1818" s="19" t="n"/>
      <c r="D1818" s="19" t="n"/>
      <c r="E1818" s="19" t="n"/>
      <c r="F1818" s="19" t="n"/>
      <c r="G1818" s="19" t="n"/>
      <c r="H1818" s="19" t="n"/>
      <c r="I1818" s="19" t="n"/>
      <c r="J1818" s="19" t="n"/>
      <c r="K1818" s="19" t="n"/>
      <c r="L1818" s="19" t="n"/>
      <c r="M1818" s="19" t="n"/>
    </row>
    <row r="1819">
      <c r="A1819" s="19" t="n"/>
      <c r="B1819" s="19" t="n"/>
      <c r="C1819" s="19" t="n"/>
      <c r="D1819" s="19" t="n"/>
      <c r="E1819" s="19" t="n"/>
      <c r="F1819" s="19" t="n"/>
      <c r="G1819" s="19" t="n"/>
      <c r="H1819" s="19" t="n"/>
      <c r="I1819" s="19" t="n"/>
      <c r="J1819" s="19" t="n"/>
      <c r="K1819" s="19" t="n"/>
      <c r="L1819" s="19" t="n"/>
      <c r="M1819" s="19" t="n"/>
    </row>
    <row r="1820">
      <c r="A1820" s="19" t="n"/>
      <c r="B1820" s="19" t="n"/>
      <c r="C1820" s="19" t="n"/>
      <c r="D1820" s="19" t="n"/>
      <c r="E1820" s="19" t="n"/>
      <c r="F1820" s="19" t="n"/>
      <c r="G1820" s="19" t="n"/>
      <c r="H1820" s="19" t="n"/>
      <c r="I1820" s="19" t="n"/>
      <c r="J1820" s="19" t="n"/>
      <c r="K1820" s="19" t="n"/>
      <c r="L1820" s="19" t="n"/>
      <c r="M1820" s="19" t="n"/>
    </row>
    <row r="1821">
      <c r="A1821" s="19" t="n"/>
      <c r="B1821" s="19" t="n"/>
      <c r="C1821" s="19" t="n"/>
      <c r="D1821" s="19" t="n"/>
      <c r="E1821" s="19" t="n"/>
      <c r="F1821" s="19" t="n"/>
      <c r="G1821" s="19" t="n"/>
      <c r="H1821" s="19" t="n"/>
      <c r="I1821" s="19" t="n"/>
      <c r="J1821" s="19" t="n"/>
      <c r="K1821" s="19" t="n"/>
      <c r="L1821" s="19" t="n"/>
      <c r="M1821" s="19" t="n"/>
    </row>
    <row r="1822">
      <c r="A1822" s="19" t="n"/>
      <c r="B1822" s="19" t="n"/>
      <c r="C1822" s="19" t="n"/>
      <c r="D1822" s="19" t="n"/>
      <c r="E1822" s="19" t="n"/>
      <c r="F1822" s="19" t="n"/>
      <c r="G1822" s="19" t="n"/>
      <c r="H1822" s="19" t="n"/>
      <c r="I1822" s="19" t="n"/>
      <c r="J1822" s="19" t="n"/>
      <c r="K1822" s="19" t="n"/>
      <c r="L1822" s="19" t="n"/>
      <c r="M1822" s="19" t="n"/>
    </row>
    <row r="1823">
      <c r="A1823" s="19" t="n"/>
      <c r="B1823" s="19" t="n"/>
      <c r="C1823" s="19" t="n"/>
      <c r="D1823" s="19" t="n"/>
      <c r="E1823" s="19" t="n"/>
      <c r="F1823" s="19" t="n"/>
      <c r="G1823" s="19" t="n"/>
      <c r="H1823" s="19" t="n"/>
      <c r="I1823" s="19" t="n"/>
      <c r="J1823" s="19" t="n"/>
      <c r="K1823" s="19" t="n"/>
      <c r="L1823" s="19" t="n"/>
      <c r="M1823" s="19" t="n"/>
    </row>
    <row r="1824">
      <c r="A1824" s="19" t="n"/>
      <c r="B1824" s="19" t="n"/>
      <c r="C1824" s="19" t="n"/>
      <c r="D1824" s="19" t="n"/>
      <c r="E1824" s="19" t="n"/>
      <c r="F1824" s="19" t="n"/>
      <c r="G1824" s="19" t="n"/>
      <c r="H1824" s="19" t="n"/>
      <c r="I1824" s="19" t="n"/>
      <c r="J1824" s="19" t="n"/>
      <c r="K1824" s="19" t="n"/>
      <c r="L1824" s="19" t="n"/>
      <c r="M1824" s="19" t="n"/>
    </row>
    <row r="1825">
      <c r="A1825" s="19" t="n"/>
      <c r="B1825" s="19" t="n"/>
      <c r="C1825" s="19" t="n"/>
      <c r="D1825" s="19" t="n"/>
      <c r="E1825" s="19" t="n"/>
      <c r="F1825" s="19" t="n"/>
      <c r="G1825" s="19" t="n"/>
      <c r="H1825" s="19" t="n"/>
      <c r="I1825" s="19" t="n"/>
      <c r="J1825" s="19" t="n"/>
      <c r="K1825" s="19" t="n"/>
      <c r="L1825" s="19" t="n"/>
      <c r="M1825" s="19" t="n"/>
    </row>
    <row r="1826">
      <c r="A1826" s="19" t="n"/>
      <c r="B1826" s="19" t="n"/>
      <c r="C1826" s="19" t="n"/>
      <c r="D1826" s="19" t="n"/>
      <c r="E1826" s="19" t="n"/>
      <c r="F1826" s="19" t="n"/>
      <c r="G1826" s="19" t="n"/>
      <c r="H1826" s="19" t="n"/>
      <c r="I1826" s="19" t="n"/>
      <c r="J1826" s="19" t="n"/>
      <c r="K1826" s="19" t="n"/>
      <c r="L1826" s="19" t="n"/>
      <c r="M1826" s="19" t="n"/>
    </row>
    <row r="1827">
      <c r="A1827" s="19" t="n"/>
      <c r="B1827" s="19" t="n"/>
      <c r="C1827" s="19" t="n"/>
      <c r="D1827" s="19" t="n"/>
      <c r="E1827" s="19" t="n"/>
      <c r="F1827" s="19" t="n"/>
      <c r="G1827" s="19" t="n"/>
      <c r="H1827" s="19" t="n"/>
      <c r="I1827" s="19" t="n"/>
      <c r="J1827" s="19" t="n"/>
      <c r="K1827" s="19" t="n"/>
      <c r="L1827" s="19" t="n"/>
      <c r="M1827" s="19" t="n"/>
    </row>
    <row r="1828">
      <c r="A1828" s="19" t="n"/>
      <c r="B1828" s="19" t="n"/>
      <c r="C1828" s="19" t="n"/>
      <c r="D1828" s="19" t="n"/>
      <c r="E1828" s="19" t="n"/>
      <c r="F1828" s="19" t="n"/>
      <c r="G1828" s="19" t="n"/>
      <c r="H1828" s="19" t="n"/>
      <c r="I1828" s="19" t="n"/>
      <c r="J1828" s="19" t="n"/>
      <c r="K1828" s="19" t="n"/>
      <c r="L1828" s="19" t="n"/>
      <c r="M1828" s="19" t="n"/>
    </row>
    <row r="1829">
      <c r="A1829" s="19" t="n"/>
      <c r="B1829" s="19" t="n"/>
      <c r="C1829" s="19" t="n"/>
      <c r="D1829" s="19" t="n"/>
      <c r="E1829" s="19" t="n"/>
      <c r="F1829" s="19" t="n"/>
      <c r="G1829" s="19" t="n"/>
      <c r="H1829" s="19" t="n"/>
      <c r="I1829" s="19" t="n"/>
      <c r="J1829" s="19" t="n"/>
      <c r="K1829" s="19" t="n"/>
      <c r="L1829" s="19" t="n"/>
      <c r="M1829" s="19" t="n"/>
    </row>
    <row r="1830">
      <c r="A1830" s="19" t="n"/>
      <c r="B1830" s="19" t="n"/>
      <c r="C1830" s="19" t="n"/>
      <c r="D1830" s="19" t="n"/>
      <c r="E1830" s="19" t="n"/>
      <c r="F1830" s="19" t="n"/>
      <c r="G1830" s="19" t="n"/>
      <c r="H1830" s="19" t="n"/>
      <c r="I1830" s="19" t="n"/>
      <c r="J1830" s="19" t="n"/>
      <c r="K1830" s="19" t="n"/>
      <c r="L1830" s="19" t="n"/>
      <c r="M1830" s="19" t="n"/>
    </row>
    <row r="1831">
      <c r="A1831" s="19" t="n"/>
      <c r="B1831" s="19" t="n"/>
      <c r="C1831" s="19" t="n"/>
      <c r="D1831" s="19" t="n"/>
      <c r="E1831" s="19" t="n"/>
      <c r="F1831" s="19" t="n"/>
      <c r="G1831" s="19" t="n"/>
      <c r="H1831" s="19" t="n"/>
      <c r="I1831" s="19" t="n"/>
      <c r="J1831" s="19" t="n"/>
      <c r="K1831" s="19" t="n"/>
      <c r="L1831" s="19" t="n"/>
      <c r="M1831" s="19" t="n"/>
    </row>
    <row r="1832">
      <c r="A1832" s="19" t="n"/>
      <c r="B1832" s="19" t="n"/>
      <c r="C1832" s="19" t="n"/>
      <c r="D1832" s="19" t="n"/>
      <c r="E1832" s="19" t="n"/>
      <c r="F1832" s="19" t="n"/>
      <c r="G1832" s="19" t="n"/>
      <c r="H1832" s="19" t="n"/>
      <c r="I1832" s="19" t="n"/>
      <c r="J1832" s="19" t="n"/>
      <c r="K1832" s="19" t="n"/>
      <c r="L1832" s="19" t="n"/>
      <c r="M1832" s="19" t="n"/>
    </row>
    <row r="1833">
      <c r="A1833" s="19" t="n"/>
      <c r="B1833" s="19" t="n"/>
      <c r="C1833" s="19" t="n"/>
      <c r="D1833" s="19" t="n"/>
      <c r="E1833" s="19" t="n"/>
      <c r="F1833" s="19" t="n"/>
      <c r="G1833" s="19" t="n"/>
      <c r="H1833" s="19" t="n"/>
      <c r="I1833" s="19" t="n"/>
      <c r="J1833" s="19" t="n"/>
      <c r="K1833" s="19" t="n"/>
      <c r="L1833" s="19" t="n"/>
      <c r="M1833" s="19" t="n"/>
    </row>
    <row r="1834">
      <c r="A1834" s="19" t="n"/>
      <c r="B1834" s="19" t="n"/>
      <c r="C1834" s="19" t="n"/>
      <c r="D1834" s="19" t="n"/>
      <c r="E1834" s="19" t="n"/>
      <c r="F1834" s="19" t="n"/>
      <c r="G1834" s="19" t="n"/>
      <c r="H1834" s="19" t="n"/>
      <c r="I1834" s="19" t="n"/>
      <c r="J1834" s="19" t="n"/>
      <c r="K1834" s="19" t="n"/>
      <c r="L1834" s="19" t="n"/>
      <c r="M1834" s="19" t="n"/>
    </row>
    <row r="1835">
      <c r="A1835" s="19" t="n"/>
      <c r="B1835" s="19" t="n"/>
      <c r="C1835" s="19" t="n"/>
      <c r="D1835" s="19" t="n"/>
      <c r="E1835" s="19" t="n"/>
      <c r="F1835" s="19" t="n"/>
      <c r="G1835" s="19" t="n"/>
      <c r="H1835" s="19" t="n"/>
      <c r="I1835" s="19" t="n"/>
      <c r="J1835" s="19" t="n"/>
      <c r="K1835" s="19" t="n"/>
      <c r="L1835" s="19" t="n"/>
      <c r="M1835" s="19" t="n"/>
    </row>
    <row r="1836">
      <c r="A1836" s="19" t="n"/>
      <c r="B1836" s="19" t="n"/>
      <c r="C1836" s="19" t="n"/>
      <c r="D1836" s="19" t="n"/>
      <c r="E1836" s="19" t="n"/>
      <c r="F1836" s="19" t="n"/>
      <c r="G1836" s="19" t="n"/>
      <c r="H1836" s="19" t="n"/>
      <c r="I1836" s="19" t="n"/>
      <c r="J1836" s="19" t="n"/>
      <c r="K1836" s="19" t="n"/>
      <c r="L1836" s="19" t="n"/>
      <c r="M1836" s="19" t="n"/>
    </row>
    <row r="1837">
      <c r="A1837" s="19" t="n"/>
      <c r="B1837" s="19" t="n"/>
      <c r="C1837" s="19" t="n"/>
      <c r="D1837" s="19" t="n"/>
      <c r="E1837" s="19" t="n"/>
      <c r="F1837" s="19" t="n"/>
      <c r="G1837" s="19" t="n"/>
      <c r="H1837" s="19" t="n"/>
      <c r="I1837" s="19" t="n"/>
      <c r="J1837" s="19" t="n"/>
      <c r="K1837" s="19" t="n"/>
      <c r="L1837" s="19" t="n"/>
      <c r="M1837" s="19" t="n"/>
    </row>
    <row r="1838">
      <c r="A1838" s="19" t="n"/>
      <c r="B1838" s="19" t="n"/>
      <c r="C1838" s="19" t="n"/>
      <c r="D1838" s="19" t="n"/>
      <c r="E1838" s="19" t="n"/>
      <c r="F1838" s="19" t="n"/>
      <c r="G1838" s="19" t="n"/>
      <c r="H1838" s="19" t="n"/>
      <c r="I1838" s="19" t="n"/>
      <c r="J1838" s="19" t="n"/>
      <c r="K1838" s="19" t="n"/>
      <c r="L1838" s="19" t="n"/>
      <c r="M1838" s="19" t="n"/>
    </row>
    <row r="1839">
      <c r="A1839" s="19" t="n"/>
      <c r="B1839" s="19" t="n"/>
      <c r="C1839" s="19" t="n"/>
      <c r="D1839" s="19" t="n"/>
      <c r="E1839" s="19" t="n"/>
      <c r="F1839" s="19" t="n"/>
      <c r="G1839" s="19" t="n"/>
      <c r="H1839" s="19" t="n"/>
      <c r="I1839" s="19" t="n"/>
      <c r="J1839" s="19" t="n"/>
      <c r="K1839" s="19" t="n"/>
      <c r="L1839" s="19" t="n"/>
      <c r="M1839" s="19" t="n"/>
    </row>
    <row r="1840">
      <c r="A1840" s="19" t="n"/>
      <c r="B1840" s="19" t="n"/>
      <c r="C1840" s="19" t="n"/>
      <c r="D1840" s="19" t="n"/>
      <c r="E1840" s="19" t="n"/>
      <c r="F1840" s="19" t="n"/>
      <c r="G1840" s="19" t="n"/>
      <c r="H1840" s="19" t="n"/>
      <c r="I1840" s="19" t="n"/>
      <c r="J1840" s="19" t="n"/>
      <c r="K1840" s="19" t="n"/>
      <c r="L1840" s="19" t="n"/>
      <c r="M1840" s="19" t="n"/>
    </row>
    <row r="1841">
      <c r="A1841" s="19" t="n"/>
      <c r="B1841" s="19" t="n"/>
      <c r="C1841" s="19" t="n"/>
      <c r="D1841" s="19" t="n"/>
      <c r="E1841" s="19" t="n"/>
      <c r="F1841" s="19" t="n"/>
      <c r="G1841" s="19" t="n"/>
      <c r="H1841" s="19" t="n"/>
      <c r="I1841" s="19" t="n"/>
      <c r="J1841" s="19" t="n"/>
      <c r="K1841" s="19" t="n"/>
      <c r="L1841" s="19" t="n"/>
      <c r="M1841" s="19" t="n"/>
    </row>
    <row r="1842">
      <c r="A1842" s="19" t="n"/>
      <c r="B1842" s="19" t="n"/>
      <c r="C1842" s="19" t="n"/>
      <c r="D1842" s="19" t="n"/>
      <c r="E1842" s="19" t="n"/>
      <c r="F1842" s="19" t="n"/>
      <c r="G1842" s="19" t="n"/>
      <c r="H1842" s="19" t="n"/>
      <c r="I1842" s="19" t="n"/>
      <c r="J1842" s="19" t="n"/>
      <c r="K1842" s="19" t="n"/>
      <c r="L1842" s="19" t="n"/>
      <c r="M1842" s="19" t="n"/>
    </row>
    <row r="1843">
      <c r="A1843" s="19" t="n"/>
      <c r="B1843" s="19" t="n"/>
      <c r="C1843" s="19" t="n"/>
      <c r="D1843" s="19" t="n"/>
      <c r="E1843" s="19" t="n"/>
      <c r="F1843" s="19" t="n"/>
      <c r="G1843" s="19" t="n"/>
      <c r="H1843" s="19" t="n"/>
      <c r="I1843" s="19" t="n"/>
      <c r="J1843" s="19" t="n"/>
      <c r="K1843" s="19" t="n"/>
      <c r="L1843" s="19" t="n"/>
      <c r="M1843" s="19" t="n"/>
    </row>
    <row r="1844">
      <c r="A1844" s="19" t="n"/>
      <c r="B1844" s="19" t="n"/>
      <c r="C1844" s="19" t="n"/>
      <c r="D1844" s="19" t="n"/>
      <c r="E1844" s="19" t="n"/>
      <c r="F1844" s="19" t="n"/>
      <c r="G1844" s="19" t="n"/>
      <c r="H1844" s="19" t="n"/>
      <c r="I1844" s="19" t="n"/>
      <c r="J1844" s="19" t="n"/>
      <c r="K1844" s="19" t="n"/>
      <c r="L1844" s="19" t="n"/>
      <c r="M1844" s="19" t="n"/>
    </row>
    <row r="1845">
      <c r="A1845" s="19" t="n"/>
      <c r="B1845" s="19" t="n"/>
      <c r="C1845" s="19" t="n"/>
      <c r="D1845" s="19" t="n"/>
      <c r="E1845" s="19" t="n"/>
      <c r="F1845" s="19" t="n"/>
      <c r="G1845" s="19" t="n"/>
      <c r="H1845" s="19" t="n"/>
      <c r="I1845" s="19" t="n"/>
      <c r="J1845" s="19" t="n"/>
      <c r="K1845" s="19" t="n"/>
      <c r="L1845" s="19" t="n"/>
      <c r="M1845" s="19" t="n"/>
    </row>
    <row r="1846">
      <c r="A1846" s="19" t="n"/>
      <c r="B1846" s="19" t="n"/>
      <c r="C1846" s="19" t="n"/>
      <c r="D1846" s="19" t="n"/>
      <c r="E1846" s="19" t="n"/>
      <c r="F1846" s="19" t="n"/>
      <c r="G1846" s="19" t="n"/>
      <c r="H1846" s="19" t="n"/>
      <c r="I1846" s="19" t="n"/>
      <c r="J1846" s="19" t="n"/>
      <c r="K1846" s="19" t="n"/>
      <c r="L1846" s="19" t="n"/>
      <c r="M1846" s="19" t="n"/>
    </row>
    <row r="1847">
      <c r="A1847" s="19" t="n"/>
      <c r="B1847" s="19" t="n"/>
      <c r="C1847" s="19" t="n"/>
      <c r="D1847" s="19" t="n"/>
      <c r="E1847" s="19" t="n"/>
      <c r="F1847" s="19" t="n"/>
      <c r="G1847" s="19" t="n"/>
      <c r="H1847" s="19" t="n"/>
      <c r="I1847" s="19" t="n"/>
      <c r="J1847" s="19" t="n"/>
      <c r="K1847" s="19" t="n"/>
      <c r="L1847" s="19" t="n"/>
      <c r="M1847" s="19" t="n"/>
    </row>
    <row r="1848">
      <c r="A1848" s="19" t="n"/>
      <c r="B1848" s="19" t="n"/>
      <c r="C1848" s="19" t="n"/>
      <c r="D1848" s="19" t="n"/>
      <c r="E1848" s="19" t="n"/>
      <c r="F1848" s="19" t="n"/>
      <c r="G1848" s="19" t="n"/>
      <c r="H1848" s="19" t="n"/>
      <c r="I1848" s="19" t="n"/>
      <c r="J1848" s="19" t="n"/>
      <c r="K1848" s="19" t="n"/>
      <c r="L1848" s="19" t="n"/>
      <c r="M1848" s="19" t="n"/>
    </row>
    <row r="1849">
      <c r="A1849" s="19" t="n"/>
      <c r="B1849" s="19" t="n"/>
      <c r="C1849" s="19" t="n"/>
      <c r="D1849" s="19" t="n"/>
      <c r="E1849" s="19" t="n"/>
      <c r="F1849" s="19" t="n"/>
      <c r="G1849" s="19" t="n"/>
      <c r="H1849" s="19" t="n"/>
      <c r="I1849" s="19" t="n"/>
      <c r="J1849" s="19" t="n"/>
      <c r="K1849" s="19" t="n"/>
      <c r="L1849" s="19" t="n"/>
      <c r="M1849" s="19" t="n"/>
    </row>
    <row r="1850">
      <c r="A1850" s="19" t="n"/>
      <c r="B1850" s="19" t="n"/>
      <c r="C1850" s="19" t="n"/>
      <c r="D1850" s="19" t="n"/>
      <c r="E1850" s="19" t="n"/>
      <c r="F1850" s="19" t="n"/>
      <c r="G1850" s="19" t="n"/>
      <c r="H1850" s="19" t="n"/>
      <c r="I1850" s="19" t="n"/>
      <c r="J1850" s="19" t="n"/>
      <c r="K1850" s="19" t="n"/>
      <c r="L1850" s="19" t="n"/>
      <c r="M1850" s="19" t="n"/>
    </row>
    <row r="1851">
      <c r="A1851" s="19" t="n"/>
      <c r="B1851" s="19" t="n"/>
      <c r="C1851" s="19" t="n"/>
      <c r="D1851" s="19" t="n"/>
      <c r="E1851" s="19" t="n"/>
      <c r="F1851" s="19" t="n"/>
      <c r="G1851" s="19" t="n"/>
      <c r="H1851" s="19" t="n"/>
      <c r="I1851" s="19" t="n"/>
      <c r="J1851" s="19" t="n"/>
      <c r="K1851" s="19" t="n"/>
      <c r="L1851" s="19" t="n"/>
      <c r="M1851" s="19" t="n"/>
    </row>
    <row r="1852">
      <c r="A1852" s="19" t="n"/>
      <c r="B1852" s="19" t="n"/>
      <c r="C1852" s="19" t="n"/>
      <c r="D1852" s="19" t="n"/>
      <c r="E1852" s="19" t="n"/>
      <c r="F1852" s="19" t="n"/>
      <c r="G1852" s="19" t="n"/>
      <c r="H1852" s="19" t="n"/>
      <c r="I1852" s="19" t="n"/>
      <c r="J1852" s="19" t="n"/>
      <c r="K1852" s="19" t="n"/>
      <c r="L1852" s="19" t="n"/>
      <c r="M1852" s="19" t="n"/>
    </row>
    <row r="1853">
      <c r="A1853" s="19" t="n"/>
      <c r="B1853" s="19" t="n"/>
      <c r="C1853" s="19" t="n"/>
      <c r="D1853" s="19" t="n"/>
      <c r="E1853" s="19" t="n"/>
      <c r="F1853" s="19" t="n"/>
      <c r="G1853" s="19" t="n"/>
      <c r="H1853" s="19" t="n"/>
      <c r="I1853" s="19" t="n"/>
      <c r="J1853" s="19" t="n"/>
      <c r="K1853" s="19" t="n"/>
      <c r="L1853" s="19" t="n"/>
      <c r="M1853" s="19" t="n"/>
    </row>
    <row r="1854">
      <c r="A1854" s="19" t="n"/>
      <c r="B1854" s="19" t="n"/>
      <c r="C1854" s="19" t="n"/>
      <c r="D1854" s="19" t="n"/>
      <c r="E1854" s="19" t="n"/>
      <c r="F1854" s="19" t="n"/>
      <c r="G1854" s="19" t="n"/>
      <c r="H1854" s="19" t="n"/>
      <c r="I1854" s="19" t="n"/>
      <c r="J1854" s="19" t="n"/>
      <c r="K1854" s="19" t="n"/>
      <c r="L1854" s="19" t="n"/>
      <c r="M1854" s="19" t="n"/>
    </row>
    <row r="1855">
      <c r="A1855" s="19" t="n"/>
      <c r="B1855" s="19" t="n"/>
      <c r="C1855" s="19" t="n"/>
      <c r="D1855" s="19" t="n"/>
      <c r="E1855" s="19" t="n"/>
      <c r="F1855" s="19" t="n"/>
      <c r="G1855" s="19" t="n"/>
      <c r="H1855" s="19" t="n"/>
      <c r="I1855" s="19" t="n"/>
      <c r="J1855" s="19" t="n"/>
      <c r="K1855" s="19" t="n"/>
      <c r="L1855" s="19" t="n"/>
      <c r="M1855" s="19" t="n"/>
    </row>
    <row r="1856">
      <c r="A1856" s="19" t="n"/>
      <c r="B1856" s="19" t="n"/>
      <c r="C1856" s="19" t="n"/>
      <c r="D1856" s="19" t="n"/>
      <c r="E1856" s="19" t="n"/>
      <c r="F1856" s="19" t="n"/>
      <c r="G1856" s="19" t="n"/>
      <c r="H1856" s="19" t="n"/>
      <c r="I1856" s="19" t="n"/>
      <c r="J1856" s="19" t="n"/>
      <c r="K1856" s="19" t="n"/>
      <c r="L1856" s="19" t="n"/>
      <c r="M1856" s="19" t="n"/>
    </row>
    <row r="1857">
      <c r="A1857" s="19" t="n"/>
      <c r="B1857" s="19" t="n"/>
      <c r="C1857" s="19" t="n"/>
      <c r="D1857" s="19" t="n"/>
      <c r="E1857" s="19" t="n"/>
      <c r="F1857" s="19" t="n"/>
      <c r="G1857" s="19" t="n"/>
      <c r="H1857" s="19" t="n"/>
      <c r="I1857" s="19" t="n"/>
      <c r="J1857" s="19" t="n"/>
      <c r="K1857" s="19" t="n"/>
      <c r="L1857" s="19" t="n"/>
      <c r="M1857" s="19" t="n"/>
    </row>
    <row r="1858">
      <c r="A1858" s="19" t="n"/>
      <c r="B1858" s="19" t="n"/>
      <c r="C1858" s="19" t="n"/>
      <c r="D1858" s="19" t="n"/>
      <c r="E1858" s="19" t="n"/>
      <c r="F1858" s="19" t="n"/>
      <c r="G1858" s="19" t="n"/>
      <c r="H1858" s="19" t="n"/>
      <c r="I1858" s="19" t="n"/>
      <c r="J1858" s="19" t="n"/>
      <c r="K1858" s="19" t="n"/>
      <c r="L1858" s="19" t="n"/>
      <c r="M1858" s="19" t="n"/>
    </row>
    <row r="1859">
      <c r="A1859" s="19" t="n"/>
      <c r="B1859" s="19" t="n"/>
      <c r="C1859" s="19" t="n"/>
      <c r="D1859" s="19" t="n"/>
      <c r="E1859" s="19" t="n"/>
      <c r="F1859" s="19" t="n"/>
      <c r="G1859" s="19" t="n"/>
      <c r="H1859" s="19" t="n"/>
      <c r="I1859" s="19" t="n"/>
      <c r="J1859" s="19" t="n"/>
      <c r="K1859" s="19" t="n"/>
      <c r="L1859" s="19" t="n"/>
      <c r="M1859" s="19" t="n"/>
    </row>
    <row r="1860">
      <c r="A1860" s="19" t="n"/>
      <c r="B1860" s="19" t="n"/>
      <c r="C1860" s="19" t="n"/>
      <c r="D1860" s="19" t="n"/>
      <c r="E1860" s="19" t="n"/>
      <c r="F1860" s="19" t="n"/>
      <c r="G1860" s="19" t="n"/>
      <c r="H1860" s="19" t="n"/>
      <c r="I1860" s="19" t="n"/>
      <c r="J1860" s="19" t="n"/>
      <c r="K1860" s="19" t="n"/>
      <c r="L1860" s="19" t="n"/>
      <c r="M1860" s="19" t="n"/>
    </row>
    <row r="1861">
      <c r="A1861" s="19" t="n"/>
      <c r="B1861" s="19" t="n"/>
      <c r="C1861" s="19" t="n"/>
      <c r="D1861" s="19" t="n"/>
      <c r="E1861" s="19" t="n"/>
      <c r="F1861" s="19" t="n"/>
      <c r="G1861" s="19" t="n"/>
      <c r="H1861" s="19" t="n"/>
      <c r="I1861" s="19" t="n"/>
      <c r="J1861" s="19" t="n"/>
      <c r="K1861" s="19" t="n"/>
      <c r="L1861" s="19" t="n"/>
      <c r="M1861" s="19" t="n"/>
    </row>
    <row r="1862">
      <c r="A1862" s="19" t="n"/>
      <c r="B1862" s="19" t="n"/>
      <c r="C1862" s="19" t="n"/>
      <c r="D1862" s="19" t="n"/>
      <c r="E1862" s="19" t="n"/>
      <c r="F1862" s="19" t="n"/>
      <c r="G1862" s="19" t="n"/>
      <c r="H1862" s="19" t="n"/>
      <c r="I1862" s="19" t="n"/>
      <c r="J1862" s="19" t="n"/>
      <c r="K1862" s="19" t="n"/>
      <c r="L1862" s="19" t="n"/>
      <c r="M1862" s="19" t="n"/>
    </row>
    <row r="1863">
      <c r="A1863" s="19" t="n"/>
      <c r="B1863" s="19" t="n"/>
      <c r="C1863" s="19" t="n"/>
      <c r="D1863" s="19" t="n"/>
      <c r="E1863" s="19" t="n"/>
      <c r="F1863" s="19" t="n"/>
      <c r="G1863" s="19" t="n"/>
      <c r="H1863" s="19" t="n"/>
      <c r="I1863" s="19" t="n"/>
      <c r="J1863" s="19" t="n"/>
      <c r="K1863" s="19" t="n"/>
      <c r="L1863" s="19" t="n"/>
      <c r="M1863" s="19" t="n"/>
    </row>
    <row r="1864">
      <c r="A1864" s="19" t="n"/>
      <c r="B1864" s="19" t="n"/>
      <c r="C1864" s="19" t="n"/>
      <c r="D1864" s="19" t="n"/>
      <c r="E1864" s="19" t="n"/>
      <c r="F1864" s="19" t="n"/>
      <c r="G1864" s="19" t="n"/>
      <c r="H1864" s="19" t="n"/>
      <c r="I1864" s="19" t="n"/>
      <c r="J1864" s="19" t="n"/>
      <c r="K1864" s="19" t="n"/>
      <c r="L1864" s="19" t="n"/>
      <c r="M1864" s="19" t="n"/>
    </row>
    <row r="1865">
      <c r="A1865" s="19" t="n"/>
      <c r="B1865" s="19" t="n"/>
      <c r="C1865" s="19" t="n"/>
      <c r="D1865" s="19" t="n"/>
      <c r="E1865" s="19" t="n"/>
      <c r="F1865" s="19" t="n"/>
      <c r="G1865" s="19" t="n"/>
      <c r="H1865" s="19" t="n"/>
      <c r="I1865" s="19" t="n"/>
      <c r="J1865" s="19" t="n"/>
      <c r="K1865" s="19" t="n"/>
      <c r="L1865" s="19" t="n"/>
      <c r="M1865" s="19" t="n"/>
    </row>
    <row r="1866">
      <c r="A1866" s="19" t="n"/>
      <c r="B1866" s="19" t="n"/>
      <c r="C1866" s="19" t="n"/>
      <c r="D1866" s="19" t="n"/>
      <c r="E1866" s="19" t="n"/>
      <c r="F1866" s="19" t="n"/>
      <c r="G1866" s="19" t="n"/>
      <c r="H1866" s="19" t="n"/>
      <c r="I1866" s="19" t="n"/>
      <c r="J1866" s="19" t="n"/>
      <c r="K1866" s="19" t="n"/>
      <c r="L1866" s="19" t="n"/>
      <c r="M1866" s="19" t="n"/>
    </row>
    <row r="1867">
      <c r="A1867" s="19" t="n"/>
      <c r="B1867" s="19" t="n"/>
      <c r="C1867" s="19" t="n"/>
      <c r="D1867" s="19" t="n"/>
      <c r="E1867" s="19" t="n"/>
      <c r="F1867" s="19" t="n"/>
      <c r="G1867" s="19" t="n"/>
      <c r="H1867" s="19" t="n"/>
      <c r="I1867" s="19" t="n"/>
      <c r="J1867" s="19" t="n"/>
      <c r="K1867" s="19" t="n"/>
      <c r="L1867" s="19" t="n"/>
      <c r="M1867" s="19" t="n"/>
    </row>
    <row r="1868">
      <c r="A1868" s="19" t="n"/>
      <c r="B1868" s="19" t="n"/>
      <c r="C1868" s="19" t="n"/>
      <c r="D1868" s="19" t="n"/>
      <c r="E1868" s="19" t="n"/>
      <c r="F1868" s="19" t="n"/>
      <c r="G1868" s="19" t="n"/>
      <c r="H1868" s="19" t="n"/>
      <c r="I1868" s="19" t="n"/>
      <c r="J1868" s="19" t="n"/>
      <c r="K1868" s="19" t="n"/>
      <c r="L1868" s="19" t="n"/>
      <c r="M1868" s="19" t="n"/>
    </row>
    <row r="1869">
      <c r="A1869" s="19" t="n"/>
      <c r="B1869" s="19" t="n"/>
      <c r="C1869" s="19" t="n"/>
      <c r="D1869" s="19" t="n"/>
      <c r="E1869" s="19" t="n"/>
      <c r="F1869" s="19" t="n"/>
      <c r="G1869" s="19" t="n"/>
      <c r="H1869" s="19" t="n"/>
      <c r="I1869" s="19" t="n"/>
      <c r="J1869" s="19" t="n"/>
      <c r="K1869" s="19" t="n"/>
      <c r="L1869" s="19" t="n"/>
      <c r="M1869" s="19" t="n"/>
    </row>
    <row r="1870">
      <c r="A1870" s="19" t="n"/>
      <c r="B1870" s="19" t="n"/>
      <c r="C1870" s="19" t="n"/>
      <c r="D1870" s="19" t="n"/>
      <c r="E1870" s="19" t="n"/>
      <c r="F1870" s="19" t="n"/>
      <c r="G1870" s="19" t="n"/>
      <c r="H1870" s="19" t="n"/>
      <c r="I1870" s="19" t="n"/>
      <c r="J1870" s="19" t="n"/>
      <c r="K1870" s="19" t="n"/>
      <c r="L1870" s="19" t="n"/>
      <c r="M1870" s="19" t="n"/>
    </row>
    <row r="1871">
      <c r="A1871" s="19" t="n"/>
      <c r="B1871" s="19" t="n"/>
      <c r="C1871" s="19" t="n"/>
      <c r="D1871" s="19" t="n"/>
      <c r="E1871" s="19" t="n"/>
      <c r="F1871" s="19" t="n"/>
      <c r="G1871" s="19" t="n"/>
      <c r="H1871" s="19" t="n"/>
      <c r="I1871" s="19" t="n"/>
      <c r="J1871" s="19" t="n"/>
      <c r="K1871" s="19" t="n"/>
      <c r="L1871" s="19" t="n"/>
      <c r="M1871" s="19" t="n"/>
    </row>
    <row r="1872">
      <c r="A1872" s="19" t="n"/>
      <c r="B1872" s="19" t="n"/>
      <c r="C1872" s="19" t="n"/>
      <c r="D1872" s="19" t="n"/>
      <c r="E1872" s="19" t="n"/>
      <c r="F1872" s="19" t="n"/>
      <c r="G1872" s="19" t="n"/>
      <c r="H1872" s="19" t="n"/>
      <c r="I1872" s="19" t="n"/>
      <c r="J1872" s="19" t="n"/>
      <c r="K1872" s="19" t="n"/>
      <c r="L1872" s="19" t="n"/>
      <c r="M1872" s="19" t="n"/>
    </row>
    <row r="1873">
      <c r="A1873" s="19" t="n"/>
      <c r="B1873" s="19" t="n"/>
      <c r="C1873" s="19" t="n"/>
      <c r="D1873" s="19" t="n"/>
      <c r="E1873" s="19" t="n"/>
      <c r="F1873" s="19" t="n"/>
      <c r="G1873" s="19" t="n"/>
      <c r="H1873" s="19" t="n"/>
      <c r="I1873" s="19" t="n"/>
      <c r="J1873" s="19" t="n"/>
      <c r="K1873" s="19" t="n"/>
      <c r="L1873" s="19" t="n"/>
      <c r="M1873" s="19" t="n"/>
    </row>
    <row r="1874">
      <c r="A1874" s="19" t="n"/>
      <c r="B1874" s="19" t="n"/>
      <c r="C1874" s="19" t="n"/>
      <c r="D1874" s="19" t="n"/>
      <c r="E1874" s="19" t="n"/>
      <c r="F1874" s="19" t="n"/>
      <c r="G1874" s="19" t="n"/>
      <c r="H1874" s="19" t="n"/>
      <c r="I1874" s="19" t="n"/>
      <c r="J1874" s="19" t="n"/>
      <c r="K1874" s="19" t="n"/>
      <c r="L1874" s="19" t="n"/>
      <c r="M1874" s="19" t="n"/>
    </row>
    <row r="1875">
      <c r="A1875" s="19" t="n"/>
      <c r="B1875" s="19" t="n"/>
      <c r="C1875" s="19" t="n"/>
      <c r="D1875" s="19" t="n"/>
      <c r="E1875" s="19" t="n"/>
      <c r="F1875" s="19" t="n"/>
      <c r="G1875" s="19" t="n"/>
      <c r="H1875" s="19" t="n"/>
      <c r="I1875" s="19" t="n"/>
      <c r="J1875" s="19" t="n"/>
      <c r="K1875" s="19" t="n"/>
      <c r="L1875" s="19" t="n"/>
      <c r="M1875" s="19" t="n"/>
    </row>
    <row r="1876">
      <c r="A1876" s="19" t="n"/>
      <c r="B1876" s="19" t="n"/>
      <c r="C1876" s="19" t="n"/>
      <c r="D1876" s="19" t="n"/>
      <c r="E1876" s="19" t="n"/>
      <c r="F1876" s="19" t="n"/>
      <c r="G1876" s="19" t="n"/>
      <c r="H1876" s="19" t="n"/>
      <c r="I1876" s="19" t="n"/>
      <c r="J1876" s="19" t="n"/>
      <c r="K1876" s="19" t="n"/>
      <c r="L1876" s="19" t="n"/>
      <c r="M1876" s="19" t="n"/>
    </row>
    <row r="1877">
      <c r="A1877" s="19" t="n"/>
      <c r="B1877" s="19" t="n"/>
      <c r="C1877" s="19" t="n"/>
      <c r="D1877" s="19" t="n"/>
      <c r="E1877" s="19" t="n"/>
      <c r="F1877" s="19" t="n"/>
      <c r="G1877" s="19" t="n"/>
      <c r="H1877" s="19" t="n"/>
      <c r="I1877" s="19" t="n"/>
      <c r="J1877" s="19" t="n"/>
      <c r="K1877" s="19" t="n"/>
      <c r="L1877" s="19" t="n"/>
      <c r="M1877" s="19" t="n"/>
    </row>
    <row r="1878">
      <c r="A1878" s="19" t="n"/>
      <c r="B1878" s="19" t="n"/>
      <c r="C1878" s="19" t="n"/>
      <c r="D1878" s="19" t="n"/>
      <c r="E1878" s="19" t="n"/>
      <c r="F1878" s="19" t="n"/>
      <c r="G1878" s="19" t="n"/>
      <c r="H1878" s="19" t="n"/>
      <c r="I1878" s="19" t="n"/>
      <c r="J1878" s="19" t="n"/>
      <c r="K1878" s="19" t="n"/>
      <c r="L1878" s="19" t="n"/>
      <c r="M1878" s="19" t="n"/>
    </row>
    <row r="1879">
      <c r="A1879" s="19" t="n"/>
      <c r="B1879" s="19" t="n"/>
      <c r="C1879" s="19" t="n"/>
      <c r="D1879" s="19" t="n"/>
      <c r="E1879" s="19" t="n"/>
      <c r="F1879" s="19" t="n"/>
      <c r="G1879" s="19" t="n"/>
      <c r="H1879" s="19" t="n"/>
      <c r="I1879" s="19" t="n"/>
      <c r="J1879" s="19" t="n"/>
      <c r="K1879" s="19" t="n"/>
      <c r="L1879" s="19" t="n"/>
      <c r="M1879" s="19" t="n"/>
    </row>
    <row r="1880">
      <c r="A1880" s="19" t="n"/>
      <c r="B1880" s="19" t="n"/>
      <c r="C1880" s="19" t="n"/>
      <c r="D1880" s="19" t="n"/>
      <c r="E1880" s="19" t="n"/>
      <c r="F1880" s="19" t="n"/>
      <c r="G1880" s="19" t="n"/>
      <c r="H1880" s="19" t="n"/>
      <c r="I1880" s="19" t="n"/>
      <c r="J1880" s="19" t="n"/>
      <c r="K1880" s="19" t="n"/>
      <c r="L1880" s="19" t="n"/>
      <c r="M1880" s="19" t="n"/>
    </row>
    <row r="1881">
      <c r="A1881" s="19" t="n"/>
      <c r="B1881" s="19" t="n"/>
      <c r="C1881" s="19" t="n"/>
      <c r="D1881" s="19" t="n"/>
      <c r="E1881" s="19" t="n"/>
      <c r="F1881" s="19" t="n"/>
      <c r="G1881" s="19" t="n"/>
      <c r="H1881" s="19" t="n"/>
      <c r="I1881" s="19" t="n"/>
      <c r="J1881" s="19" t="n"/>
      <c r="K1881" s="19" t="n"/>
      <c r="L1881" s="19" t="n"/>
      <c r="M1881" s="19" t="n"/>
    </row>
    <row r="1882">
      <c r="A1882" s="19" t="n"/>
      <c r="B1882" s="19" t="n"/>
      <c r="C1882" s="19" t="n"/>
      <c r="D1882" s="19" t="n"/>
      <c r="E1882" s="19" t="n"/>
      <c r="F1882" s="19" t="n"/>
      <c r="G1882" s="19" t="n"/>
      <c r="H1882" s="19" t="n"/>
      <c r="I1882" s="19" t="n"/>
      <c r="J1882" s="19" t="n"/>
      <c r="K1882" s="19" t="n"/>
      <c r="L1882" s="19" t="n"/>
      <c r="M1882" s="19" t="n"/>
    </row>
    <row r="1883">
      <c r="A1883" s="19" t="n"/>
      <c r="B1883" s="19" t="n"/>
      <c r="C1883" s="19" t="n"/>
      <c r="D1883" s="19" t="n"/>
      <c r="E1883" s="19" t="n"/>
      <c r="F1883" s="19" t="n"/>
      <c r="G1883" s="19" t="n"/>
      <c r="H1883" s="19" t="n"/>
      <c r="I1883" s="19" t="n"/>
      <c r="J1883" s="19" t="n"/>
      <c r="K1883" s="19" t="n"/>
      <c r="L1883" s="19" t="n"/>
      <c r="M1883" s="19" t="n"/>
    </row>
    <row r="1884">
      <c r="A1884" s="19" t="n"/>
      <c r="B1884" s="19" t="n"/>
      <c r="C1884" s="19" t="n"/>
      <c r="D1884" s="19" t="n"/>
      <c r="E1884" s="19" t="n"/>
      <c r="F1884" s="19" t="n"/>
      <c r="G1884" s="19" t="n"/>
      <c r="H1884" s="19" t="n"/>
      <c r="I1884" s="19" t="n"/>
      <c r="J1884" s="19" t="n"/>
      <c r="K1884" s="19" t="n"/>
      <c r="L1884" s="19" t="n"/>
      <c r="M1884" s="19" t="n"/>
    </row>
    <row r="1885">
      <c r="A1885" s="19" t="n"/>
      <c r="B1885" s="19" t="n"/>
      <c r="C1885" s="19" t="n"/>
      <c r="D1885" s="19" t="n"/>
      <c r="E1885" s="19" t="n"/>
      <c r="F1885" s="19" t="n"/>
      <c r="G1885" s="19" t="n"/>
      <c r="H1885" s="19" t="n"/>
      <c r="I1885" s="19" t="n"/>
      <c r="J1885" s="19" t="n"/>
      <c r="K1885" s="19" t="n"/>
      <c r="L1885" s="19" t="n"/>
      <c r="M1885" s="19" t="n"/>
    </row>
    <row r="1886">
      <c r="A1886" s="19" t="n"/>
      <c r="B1886" s="19" t="n"/>
      <c r="C1886" s="19" t="n"/>
      <c r="D1886" s="19" t="n"/>
      <c r="E1886" s="19" t="n"/>
      <c r="F1886" s="19" t="n"/>
      <c r="G1886" s="19" t="n"/>
      <c r="H1886" s="19" t="n"/>
      <c r="I1886" s="19" t="n"/>
      <c r="J1886" s="19" t="n"/>
      <c r="K1886" s="19" t="n"/>
      <c r="L1886" s="19" t="n"/>
      <c r="M1886" s="19" t="n"/>
    </row>
    <row r="1887">
      <c r="A1887" s="19" t="n"/>
      <c r="B1887" s="19" t="n"/>
      <c r="C1887" s="19" t="n"/>
      <c r="D1887" s="19" t="n"/>
      <c r="E1887" s="19" t="n"/>
      <c r="F1887" s="19" t="n"/>
      <c r="G1887" s="19" t="n"/>
      <c r="H1887" s="19" t="n"/>
      <c r="I1887" s="19" t="n"/>
      <c r="J1887" s="19" t="n"/>
      <c r="K1887" s="19" t="n"/>
      <c r="L1887" s="19" t="n"/>
      <c r="M1887" s="19" t="n"/>
    </row>
    <row r="1888">
      <c r="A1888" s="19" t="n"/>
      <c r="B1888" s="19" t="n"/>
      <c r="C1888" s="19" t="n"/>
      <c r="D1888" s="19" t="n"/>
      <c r="E1888" s="19" t="n"/>
      <c r="F1888" s="19" t="n"/>
      <c r="G1888" s="19" t="n"/>
      <c r="H1888" s="19" t="n"/>
      <c r="I1888" s="19" t="n"/>
      <c r="J1888" s="19" t="n"/>
      <c r="K1888" s="19" t="n"/>
      <c r="L1888" s="19" t="n"/>
      <c r="M1888" s="19" t="n"/>
    </row>
    <row r="1889">
      <c r="A1889" s="19" t="n"/>
      <c r="B1889" s="19" t="n"/>
      <c r="C1889" s="19" t="n"/>
      <c r="D1889" s="19" t="n"/>
      <c r="E1889" s="19" t="n"/>
      <c r="F1889" s="19" t="n"/>
      <c r="G1889" s="19" t="n"/>
      <c r="H1889" s="19" t="n"/>
      <c r="I1889" s="19" t="n"/>
      <c r="J1889" s="19" t="n"/>
      <c r="K1889" s="19" t="n"/>
      <c r="L1889" s="19" t="n"/>
      <c r="M1889" s="19" t="n"/>
    </row>
    <row r="1890">
      <c r="A1890" s="19" t="n"/>
      <c r="B1890" s="19" t="n"/>
      <c r="C1890" s="19" t="n"/>
      <c r="D1890" s="19" t="n"/>
      <c r="E1890" s="19" t="n"/>
      <c r="F1890" s="19" t="n"/>
      <c r="G1890" s="19" t="n"/>
      <c r="H1890" s="19" t="n"/>
      <c r="I1890" s="19" t="n"/>
      <c r="J1890" s="19" t="n"/>
      <c r="K1890" s="19" t="n"/>
      <c r="L1890" s="19" t="n"/>
      <c r="M1890" s="19" t="n"/>
    </row>
    <row r="1891">
      <c r="A1891" s="19" t="n"/>
      <c r="B1891" s="19" t="n"/>
      <c r="C1891" s="19" t="n"/>
      <c r="D1891" s="19" t="n"/>
      <c r="E1891" s="19" t="n"/>
      <c r="F1891" s="19" t="n"/>
      <c r="G1891" s="19" t="n"/>
      <c r="H1891" s="19" t="n"/>
      <c r="I1891" s="19" t="n"/>
      <c r="J1891" s="19" t="n"/>
      <c r="K1891" s="19" t="n"/>
      <c r="L1891" s="19" t="n"/>
      <c r="M1891" s="19" t="n"/>
    </row>
    <row r="1892">
      <c r="A1892" s="19" t="n"/>
      <c r="B1892" s="19" t="n"/>
      <c r="C1892" s="19" t="n"/>
      <c r="D1892" s="19" t="n"/>
      <c r="E1892" s="19" t="n"/>
      <c r="F1892" s="19" t="n"/>
      <c r="G1892" s="19" t="n"/>
      <c r="H1892" s="19" t="n"/>
      <c r="I1892" s="19" t="n"/>
      <c r="J1892" s="19" t="n"/>
      <c r="K1892" s="19" t="n"/>
      <c r="L1892" s="19" t="n"/>
      <c r="M1892" s="19" t="n"/>
    </row>
    <row r="1893">
      <c r="A1893" s="19" t="n"/>
      <c r="B1893" s="19" t="n"/>
      <c r="C1893" s="19" t="n"/>
      <c r="D1893" s="19" t="n"/>
      <c r="E1893" s="19" t="n"/>
      <c r="F1893" s="19" t="n"/>
      <c r="G1893" s="19" t="n"/>
      <c r="H1893" s="19" t="n"/>
      <c r="I1893" s="19" t="n"/>
      <c r="J1893" s="19" t="n"/>
      <c r="K1893" s="19" t="n"/>
      <c r="L1893" s="19" t="n"/>
      <c r="M1893" s="19" t="n"/>
    </row>
    <row r="1894">
      <c r="A1894" s="19" t="n"/>
      <c r="B1894" s="19" t="n"/>
      <c r="C1894" s="19" t="n"/>
      <c r="D1894" s="19" t="n"/>
      <c r="E1894" s="19" t="n"/>
      <c r="F1894" s="19" t="n"/>
      <c r="G1894" s="19" t="n"/>
      <c r="H1894" s="19" t="n"/>
      <c r="I1894" s="19" t="n"/>
      <c r="J1894" s="19" t="n"/>
      <c r="K1894" s="19" t="n"/>
      <c r="L1894" s="19" t="n"/>
      <c r="M1894" s="19" t="n"/>
    </row>
    <row r="1895">
      <c r="A1895" s="19" t="n"/>
      <c r="B1895" s="19" t="n"/>
      <c r="C1895" s="19" t="n"/>
      <c r="D1895" s="19" t="n"/>
      <c r="E1895" s="19" t="n"/>
      <c r="F1895" s="19" t="n"/>
      <c r="G1895" s="19" t="n"/>
      <c r="H1895" s="19" t="n"/>
      <c r="I1895" s="19" t="n"/>
      <c r="J1895" s="19" t="n"/>
      <c r="K1895" s="19" t="n"/>
      <c r="L1895" s="19" t="n"/>
      <c r="M1895" s="19" t="n"/>
    </row>
    <row r="1896">
      <c r="A1896" s="19" t="n"/>
      <c r="B1896" s="19" t="n"/>
      <c r="C1896" s="19" t="n"/>
      <c r="D1896" s="19" t="n"/>
      <c r="E1896" s="19" t="n"/>
      <c r="F1896" s="19" t="n"/>
      <c r="G1896" s="19" t="n"/>
      <c r="H1896" s="19" t="n"/>
      <c r="I1896" s="19" t="n"/>
      <c r="J1896" s="19" t="n"/>
      <c r="K1896" s="19" t="n"/>
      <c r="L1896" s="19" t="n"/>
      <c r="M1896" s="19" t="n"/>
    </row>
    <row r="1897">
      <c r="A1897" s="19" t="n"/>
      <c r="B1897" s="19" t="n"/>
      <c r="C1897" s="19" t="n"/>
      <c r="D1897" s="19" t="n"/>
      <c r="E1897" s="19" t="n"/>
      <c r="F1897" s="19" t="n"/>
      <c r="G1897" s="19" t="n"/>
      <c r="H1897" s="19" t="n"/>
      <c r="I1897" s="19" t="n"/>
      <c r="J1897" s="19" t="n"/>
      <c r="K1897" s="19" t="n"/>
      <c r="L1897" s="19" t="n"/>
      <c r="M1897" s="19" t="n"/>
    </row>
    <row r="1898">
      <c r="A1898" s="19" t="n"/>
      <c r="B1898" s="19" t="n"/>
      <c r="C1898" s="19" t="n"/>
      <c r="D1898" s="19" t="n"/>
      <c r="E1898" s="19" t="n"/>
      <c r="F1898" s="19" t="n"/>
      <c r="G1898" s="19" t="n"/>
      <c r="H1898" s="19" t="n"/>
      <c r="I1898" s="19" t="n"/>
      <c r="J1898" s="19" t="n"/>
      <c r="K1898" s="19" t="n"/>
      <c r="L1898" s="19" t="n"/>
      <c r="M1898" s="19" t="n"/>
    </row>
    <row r="1899">
      <c r="A1899" s="19" t="n"/>
      <c r="B1899" s="19" t="n"/>
      <c r="C1899" s="19" t="n"/>
      <c r="D1899" s="19" t="n"/>
      <c r="E1899" s="19" t="n"/>
      <c r="F1899" s="19" t="n"/>
      <c r="G1899" s="19" t="n"/>
      <c r="H1899" s="19" t="n"/>
      <c r="I1899" s="19" t="n"/>
      <c r="J1899" s="19" t="n"/>
      <c r="K1899" s="19" t="n"/>
      <c r="L1899" s="19" t="n"/>
      <c r="M1899" s="19" t="n"/>
    </row>
    <row r="1900">
      <c r="A1900" s="19" t="n"/>
      <c r="B1900" s="19" t="n"/>
      <c r="C1900" s="19" t="n"/>
      <c r="D1900" s="19" t="n"/>
      <c r="E1900" s="19" t="n"/>
      <c r="F1900" s="19" t="n"/>
      <c r="G1900" s="19" t="n"/>
      <c r="H1900" s="19" t="n"/>
      <c r="I1900" s="19" t="n"/>
      <c r="J1900" s="19" t="n"/>
      <c r="K1900" s="19" t="n"/>
      <c r="L1900" s="19" t="n"/>
      <c r="M1900" s="19" t="n"/>
    </row>
    <row r="1901">
      <c r="A1901" s="19" t="n"/>
      <c r="B1901" s="19" t="n"/>
      <c r="C1901" s="19" t="n"/>
      <c r="D1901" s="19" t="n"/>
      <c r="E1901" s="19" t="n"/>
      <c r="F1901" s="19" t="n"/>
      <c r="G1901" s="19" t="n"/>
      <c r="H1901" s="19" t="n"/>
      <c r="I1901" s="19" t="n"/>
      <c r="J1901" s="19" t="n"/>
      <c r="K1901" s="19" t="n"/>
      <c r="L1901" s="19" t="n"/>
      <c r="M1901" s="19" t="n"/>
    </row>
    <row r="1902">
      <c r="A1902" s="19" t="n"/>
      <c r="B1902" s="19" t="n"/>
      <c r="C1902" s="19" t="n"/>
      <c r="D1902" s="19" t="n"/>
      <c r="E1902" s="19" t="n"/>
      <c r="F1902" s="19" t="n"/>
      <c r="G1902" s="19" t="n"/>
      <c r="H1902" s="19" t="n"/>
      <c r="I1902" s="19" t="n"/>
      <c r="J1902" s="19" t="n"/>
      <c r="K1902" s="19" t="n"/>
      <c r="L1902" s="19" t="n"/>
      <c r="M1902" s="19" t="n"/>
    </row>
    <row r="1903">
      <c r="A1903" s="19" t="n"/>
      <c r="B1903" s="19" t="n"/>
      <c r="C1903" s="19" t="n"/>
      <c r="D1903" s="19" t="n"/>
      <c r="E1903" s="19" t="n"/>
      <c r="F1903" s="19" t="n"/>
      <c r="G1903" s="19" t="n"/>
      <c r="H1903" s="19" t="n"/>
      <c r="I1903" s="19" t="n"/>
      <c r="J1903" s="19" t="n"/>
      <c r="K1903" s="19" t="n"/>
      <c r="L1903" s="19" t="n"/>
      <c r="M1903" s="19" t="n"/>
    </row>
    <row r="1904">
      <c r="A1904" s="19" t="n"/>
      <c r="B1904" s="19" t="n"/>
      <c r="C1904" s="19" t="n"/>
      <c r="D1904" s="19" t="n"/>
      <c r="E1904" s="19" t="n"/>
      <c r="F1904" s="19" t="n"/>
      <c r="G1904" s="19" t="n"/>
      <c r="H1904" s="19" t="n"/>
      <c r="I1904" s="19" t="n"/>
      <c r="J1904" s="19" t="n"/>
      <c r="K1904" s="19" t="n"/>
      <c r="L1904" s="19" t="n"/>
      <c r="M1904" s="19" t="n"/>
    </row>
    <row r="1905">
      <c r="A1905" s="19" t="n"/>
      <c r="B1905" s="19" t="n"/>
      <c r="C1905" s="19" t="n"/>
      <c r="D1905" s="19" t="n"/>
      <c r="E1905" s="19" t="n"/>
      <c r="F1905" s="19" t="n"/>
      <c r="G1905" s="19" t="n"/>
      <c r="H1905" s="19" t="n"/>
      <c r="I1905" s="19" t="n"/>
      <c r="J1905" s="19" t="n"/>
      <c r="K1905" s="19" t="n"/>
      <c r="L1905" s="19" t="n"/>
      <c r="M1905" s="19" t="n"/>
    </row>
    <row r="1906">
      <c r="A1906" s="19" t="n"/>
      <c r="B1906" s="19" t="n"/>
      <c r="C1906" s="19" t="n"/>
      <c r="D1906" s="19" t="n"/>
      <c r="E1906" s="19" t="n"/>
      <c r="F1906" s="19" t="n"/>
      <c r="G1906" s="19" t="n"/>
      <c r="H1906" s="19" t="n"/>
      <c r="I1906" s="19" t="n"/>
      <c r="J1906" s="19" t="n"/>
      <c r="K1906" s="19" t="n"/>
      <c r="L1906" s="19" t="n"/>
      <c r="M1906" s="19" t="n"/>
    </row>
    <row r="1907">
      <c r="A1907" s="19" t="n"/>
      <c r="B1907" s="19" t="n"/>
      <c r="C1907" s="19" t="n"/>
      <c r="D1907" s="19" t="n"/>
      <c r="E1907" s="19" t="n"/>
      <c r="F1907" s="19" t="n"/>
      <c r="G1907" s="19" t="n"/>
      <c r="H1907" s="19" t="n"/>
      <c r="I1907" s="19" t="n"/>
      <c r="J1907" s="19" t="n"/>
      <c r="K1907" s="19" t="n"/>
      <c r="L1907" s="19" t="n"/>
      <c r="M1907" s="19" t="n"/>
    </row>
    <row r="1908">
      <c r="A1908" s="19" t="n"/>
      <c r="B1908" s="19" t="n"/>
      <c r="C1908" s="19" t="n"/>
      <c r="D1908" s="19" t="n"/>
      <c r="E1908" s="19" t="n"/>
      <c r="F1908" s="19" t="n"/>
      <c r="G1908" s="19" t="n"/>
      <c r="H1908" s="19" t="n"/>
      <c r="I1908" s="19" t="n"/>
      <c r="J1908" s="19" t="n"/>
      <c r="K1908" s="19" t="n"/>
      <c r="L1908" s="19" t="n"/>
      <c r="M1908" s="19" t="n"/>
    </row>
    <row r="1909">
      <c r="A1909" s="19" t="n"/>
      <c r="B1909" s="19" t="n"/>
      <c r="C1909" s="19" t="n"/>
      <c r="D1909" s="19" t="n"/>
      <c r="E1909" s="19" t="n"/>
      <c r="F1909" s="19" t="n"/>
      <c r="G1909" s="19" t="n"/>
      <c r="H1909" s="19" t="n"/>
      <c r="I1909" s="19" t="n"/>
      <c r="J1909" s="19" t="n"/>
      <c r="K1909" s="19" t="n"/>
      <c r="L1909" s="19" t="n"/>
      <c r="M1909" s="19" t="n"/>
    </row>
    <row r="1910">
      <c r="A1910" s="19" t="n"/>
      <c r="B1910" s="19" t="n"/>
      <c r="C1910" s="19" t="n"/>
      <c r="D1910" s="19" t="n"/>
      <c r="E1910" s="19" t="n"/>
      <c r="F1910" s="19" t="n"/>
      <c r="G1910" s="19" t="n"/>
      <c r="H1910" s="19" t="n"/>
      <c r="I1910" s="19" t="n"/>
      <c r="J1910" s="19" t="n"/>
      <c r="K1910" s="19" t="n"/>
      <c r="L1910" s="19" t="n"/>
      <c r="M1910" s="19" t="n"/>
    </row>
    <row r="1911">
      <c r="A1911" s="19" t="n"/>
      <c r="B1911" s="19" t="n"/>
      <c r="C1911" s="19" t="n"/>
      <c r="D1911" s="19" t="n"/>
      <c r="E1911" s="19" t="n"/>
      <c r="F1911" s="19" t="n"/>
      <c r="G1911" s="19" t="n"/>
      <c r="H1911" s="19" t="n"/>
      <c r="I1911" s="19" t="n"/>
      <c r="J1911" s="19" t="n"/>
      <c r="K1911" s="19" t="n"/>
      <c r="L1911" s="19" t="n"/>
      <c r="M1911" s="19" t="n"/>
    </row>
    <row r="1912">
      <c r="A1912" s="19" t="n"/>
      <c r="B1912" s="19" t="n"/>
      <c r="C1912" s="19" t="n"/>
      <c r="D1912" s="19" t="n"/>
      <c r="E1912" s="19" t="n"/>
      <c r="F1912" s="19" t="n"/>
      <c r="G1912" s="19" t="n"/>
      <c r="H1912" s="19" t="n"/>
      <c r="I1912" s="19" t="n"/>
      <c r="J1912" s="19" t="n"/>
      <c r="K1912" s="19" t="n"/>
      <c r="L1912" s="19" t="n"/>
      <c r="M1912" s="19" t="n"/>
    </row>
    <row r="1913">
      <c r="A1913" s="19" t="n"/>
      <c r="B1913" s="19" t="n"/>
      <c r="C1913" s="19" t="n"/>
      <c r="D1913" s="19" t="n"/>
      <c r="E1913" s="19" t="n"/>
      <c r="F1913" s="19" t="n"/>
      <c r="G1913" s="19" t="n"/>
      <c r="H1913" s="19" t="n"/>
      <c r="I1913" s="19" t="n"/>
      <c r="J1913" s="19" t="n"/>
      <c r="K1913" s="19" t="n"/>
      <c r="L1913" s="19" t="n"/>
      <c r="M1913" s="19" t="n"/>
    </row>
    <row r="1914">
      <c r="A1914" s="19" t="n"/>
      <c r="B1914" s="19" t="n"/>
      <c r="C1914" s="19" t="n"/>
      <c r="D1914" s="19" t="n"/>
      <c r="E1914" s="19" t="n"/>
      <c r="F1914" s="19" t="n"/>
      <c r="G1914" s="19" t="n"/>
      <c r="H1914" s="19" t="n"/>
      <c r="I1914" s="19" t="n"/>
      <c r="J1914" s="19" t="n"/>
      <c r="K1914" s="19" t="n"/>
      <c r="L1914" s="19" t="n"/>
      <c r="M1914" s="19" t="n"/>
    </row>
    <row r="1915">
      <c r="A1915" s="19" t="n"/>
      <c r="B1915" s="19" t="n"/>
      <c r="C1915" s="19" t="n"/>
      <c r="D1915" s="19" t="n"/>
      <c r="E1915" s="19" t="n"/>
      <c r="F1915" s="19" t="n"/>
      <c r="G1915" s="19" t="n"/>
      <c r="H1915" s="19" t="n"/>
      <c r="I1915" s="19" t="n"/>
      <c r="J1915" s="19" t="n"/>
      <c r="K1915" s="19" t="n"/>
      <c r="L1915" s="19" t="n"/>
      <c r="M1915" s="19" t="n"/>
    </row>
    <row r="1916">
      <c r="A1916" s="19" t="n"/>
      <c r="B1916" s="19" t="n"/>
      <c r="C1916" s="19" t="n"/>
      <c r="D1916" s="19" t="n"/>
      <c r="E1916" s="19" t="n"/>
      <c r="F1916" s="19" t="n"/>
      <c r="G1916" s="19" t="n"/>
      <c r="H1916" s="19" t="n"/>
      <c r="I1916" s="19" t="n"/>
      <c r="J1916" s="19" t="n"/>
      <c r="K1916" s="19" t="n"/>
      <c r="L1916" s="19" t="n"/>
      <c r="M1916" s="19" t="n"/>
    </row>
    <row r="1917">
      <c r="A1917" s="19" t="n"/>
      <c r="B1917" s="19" t="n"/>
      <c r="C1917" s="19" t="n"/>
      <c r="D1917" s="19" t="n"/>
      <c r="E1917" s="19" t="n"/>
      <c r="F1917" s="19" t="n"/>
      <c r="G1917" s="19" t="n"/>
      <c r="H1917" s="19" t="n"/>
      <c r="I1917" s="19" t="n"/>
      <c r="J1917" s="19" t="n"/>
      <c r="K1917" s="19" t="n"/>
      <c r="L1917" s="19" t="n"/>
      <c r="M1917" s="19" t="n"/>
    </row>
    <row r="1918">
      <c r="A1918" s="19" t="n"/>
      <c r="B1918" s="19" t="n"/>
      <c r="C1918" s="19" t="n"/>
      <c r="D1918" s="19" t="n"/>
      <c r="E1918" s="19" t="n"/>
      <c r="F1918" s="19" t="n"/>
      <c r="G1918" s="19" t="n"/>
      <c r="H1918" s="19" t="n"/>
      <c r="I1918" s="19" t="n"/>
      <c r="J1918" s="19" t="n"/>
      <c r="K1918" s="19" t="n"/>
      <c r="L1918" s="19" t="n"/>
      <c r="M1918" s="19" t="n"/>
    </row>
    <row r="1919">
      <c r="A1919" s="19" t="n"/>
      <c r="B1919" s="19" t="n"/>
      <c r="C1919" s="19" t="n"/>
      <c r="D1919" s="19" t="n"/>
      <c r="E1919" s="19" t="n"/>
      <c r="F1919" s="19" t="n"/>
      <c r="G1919" s="19" t="n"/>
      <c r="H1919" s="19" t="n"/>
      <c r="I1919" s="19" t="n"/>
      <c r="J1919" s="19" t="n"/>
      <c r="K1919" s="19" t="n"/>
      <c r="L1919" s="19" t="n"/>
      <c r="M1919" s="19" t="n"/>
    </row>
    <row r="1920">
      <c r="A1920" s="19" t="n"/>
      <c r="B1920" s="19" t="n"/>
      <c r="C1920" s="19" t="n"/>
      <c r="D1920" s="19" t="n"/>
      <c r="E1920" s="19" t="n"/>
      <c r="F1920" s="19" t="n"/>
      <c r="G1920" s="19" t="n"/>
      <c r="H1920" s="19" t="n"/>
      <c r="I1920" s="19" t="n"/>
      <c r="J1920" s="19" t="n"/>
      <c r="K1920" s="19" t="n"/>
      <c r="L1920" s="19" t="n"/>
      <c r="M1920" s="19" t="n"/>
    </row>
    <row r="1921">
      <c r="A1921" s="19" t="n"/>
      <c r="B1921" s="19" t="n"/>
      <c r="C1921" s="19" t="n"/>
      <c r="D1921" s="19" t="n"/>
      <c r="E1921" s="19" t="n"/>
      <c r="F1921" s="19" t="n"/>
      <c r="G1921" s="19" t="n"/>
      <c r="H1921" s="19" t="n"/>
      <c r="I1921" s="19" t="n"/>
      <c r="J1921" s="19" t="n"/>
      <c r="K1921" s="19" t="n"/>
      <c r="L1921" s="19" t="n"/>
      <c r="M1921" s="19" t="n"/>
    </row>
    <row r="1922">
      <c r="A1922" s="19" t="n"/>
      <c r="B1922" s="19" t="n"/>
      <c r="C1922" s="19" t="n"/>
      <c r="D1922" s="19" t="n"/>
      <c r="E1922" s="19" t="n"/>
      <c r="F1922" s="19" t="n"/>
      <c r="G1922" s="19" t="n"/>
      <c r="H1922" s="19" t="n"/>
      <c r="I1922" s="19" t="n"/>
      <c r="J1922" s="19" t="n"/>
      <c r="K1922" s="19" t="n"/>
      <c r="L1922" s="19" t="n"/>
      <c r="M1922" s="19" t="n"/>
    </row>
    <row r="1923">
      <c r="A1923" s="19" t="n"/>
      <c r="B1923" s="19" t="n"/>
      <c r="C1923" s="19" t="n"/>
      <c r="D1923" s="19" t="n"/>
      <c r="E1923" s="19" t="n"/>
      <c r="F1923" s="19" t="n"/>
      <c r="G1923" s="19" t="n"/>
      <c r="H1923" s="19" t="n"/>
      <c r="I1923" s="19" t="n"/>
      <c r="J1923" s="19" t="n"/>
      <c r="K1923" s="19" t="n"/>
      <c r="L1923" s="19" t="n"/>
      <c r="M1923" s="19" t="n"/>
    </row>
    <row r="1924">
      <c r="A1924" s="19" t="n"/>
      <c r="B1924" s="19" t="n"/>
      <c r="C1924" s="19" t="n"/>
      <c r="D1924" s="19" t="n"/>
      <c r="E1924" s="19" t="n"/>
      <c r="F1924" s="19" t="n"/>
      <c r="G1924" s="19" t="n"/>
      <c r="H1924" s="19" t="n"/>
      <c r="I1924" s="19" t="n"/>
      <c r="J1924" s="19" t="n"/>
      <c r="K1924" s="19" t="n"/>
      <c r="L1924" s="19" t="n"/>
      <c r="M1924" s="19" t="n"/>
    </row>
    <row r="1925">
      <c r="A1925" s="19" t="n"/>
      <c r="B1925" s="19" t="n"/>
      <c r="C1925" s="19" t="n"/>
      <c r="D1925" s="19" t="n"/>
      <c r="E1925" s="19" t="n"/>
      <c r="F1925" s="19" t="n"/>
      <c r="G1925" s="19" t="n"/>
      <c r="H1925" s="19" t="n"/>
      <c r="I1925" s="19" t="n"/>
      <c r="J1925" s="19" t="n"/>
      <c r="K1925" s="19" t="n"/>
      <c r="L1925" s="19" t="n"/>
      <c r="M1925" s="19" t="n"/>
    </row>
    <row r="1926">
      <c r="A1926" s="19" t="n"/>
      <c r="B1926" s="19" t="n"/>
      <c r="C1926" s="19" t="n"/>
      <c r="D1926" s="19" t="n"/>
      <c r="E1926" s="19" t="n"/>
      <c r="F1926" s="19" t="n"/>
      <c r="G1926" s="19" t="n"/>
      <c r="H1926" s="19" t="n"/>
      <c r="I1926" s="19" t="n"/>
      <c r="J1926" s="19" t="n"/>
      <c r="K1926" s="19" t="n"/>
      <c r="L1926" s="19" t="n"/>
      <c r="M1926" s="19" t="n"/>
    </row>
    <row r="1927">
      <c r="A1927" s="19" t="n"/>
      <c r="B1927" s="19" t="n"/>
      <c r="C1927" s="19" t="n"/>
      <c r="D1927" s="19" t="n"/>
      <c r="E1927" s="19" t="n"/>
      <c r="F1927" s="19" t="n"/>
      <c r="G1927" s="19" t="n"/>
      <c r="H1927" s="19" t="n"/>
      <c r="I1927" s="19" t="n"/>
      <c r="J1927" s="19" t="n"/>
      <c r="K1927" s="19" t="n"/>
      <c r="L1927" s="19" t="n"/>
      <c r="M1927" s="19" t="n"/>
    </row>
    <row r="1928">
      <c r="A1928" s="19" t="n"/>
      <c r="B1928" s="19" t="n"/>
      <c r="C1928" s="19" t="n"/>
      <c r="D1928" s="19" t="n"/>
      <c r="E1928" s="19" t="n"/>
      <c r="F1928" s="19" t="n"/>
      <c r="G1928" s="19" t="n"/>
      <c r="H1928" s="19" t="n"/>
      <c r="I1928" s="19" t="n"/>
      <c r="J1928" s="19" t="n"/>
      <c r="K1928" s="19" t="n"/>
      <c r="L1928" s="19" t="n"/>
      <c r="M1928" s="19" t="n"/>
    </row>
    <row r="1929">
      <c r="A1929" s="19" t="n"/>
      <c r="B1929" s="19" t="n"/>
      <c r="C1929" s="19" t="n"/>
      <c r="D1929" s="19" t="n"/>
      <c r="E1929" s="19" t="n"/>
      <c r="F1929" s="19" t="n"/>
      <c r="G1929" s="19" t="n"/>
      <c r="H1929" s="19" t="n"/>
      <c r="I1929" s="19" t="n"/>
      <c r="J1929" s="19" t="n"/>
      <c r="K1929" s="19" t="n"/>
      <c r="L1929" s="19" t="n"/>
      <c r="M1929" s="19" t="n"/>
    </row>
    <row r="1930">
      <c r="A1930" s="19" t="n"/>
      <c r="B1930" s="19" t="n"/>
      <c r="C1930" s="19" t="n"/>
      <c r="D1930" s="19" t="n"/>
      <c r="E1930" s="19" t="n"/>
      <c r="F1930" s="19" t="n"/>
      <c r="G1930" s="19" t="n"/>
      <c r="H1930" s="19" t="n"/>
      <c r="I1930" s="19" t="n"/>
      <c r="J1930" s="19" t="n"/>
      <c r="K1930" s="19" t="n"/>
      <c r="L1930" s="19" t="n"/>
      <c r="M1930" s="19" t="n"/>
    </row>
    <row r="1931">
      <c r="A1931" s="19" t="n"/>
      <c r="B1931" s="19" t="n"/>
      <c r="C1931" s="19" t="n"/>
      <c r="D1931" s="19" t="n"/>
      <c r="E1931" s="19" t="n"/>
      <c r="F1931" s="19" t="n"/>
      <c r="G1931" s="19" t="n"/>
      <c r="H1931" s="19" t="n"/>
      <c r="I1931" s="19" t="n"/>
      <c r="J1931" s="19" t="n"/>
      <c r="K1931" s="19" t="n"/>
      <c r="L1931" s="19" t="n"/>
      <c r="M1931" s="19" t="n"/>
    </row>
    <row r="1932">
      <c r="A1932" s="19" t="n"/>
      <c r="B1932" s="19" t="n"/>
      <c r="C1932" s="19" t="n"/>
      <c r="D1932" s="19" t="n"/>
      <c r="E1932" s="19" t="n"/>
      <c r="F1932" s="19" t="n"/>
      <c r="G1932" s="19" t="n"/>
      <c r="H1932" s="19" t="n"/>
      <c r="I1932" s="19" t="n"/>
      <c r="J1932" s="19" t="n"/>
      <c r="K1932" s="19" t="n"/>
      <c r="L1932" s="19" t="n"/>
      <c r="M1932" s="19" t="n"/>
    </row>
    <row r="1933">
      <c r="A1933" s="19" t="n"/>
      <c r="B1933" s="19" t="n"/>
      <c r="C1933" s="19" t="n"/>
      <c r="D1933" s="19" t="n"/>
      <c r="E1933" s="19" t="n"/>
      <c r="F1933" s="19" t="n"/>
      <c r="G1933" s="19" t="n"/>
      <c r="H1933" s="19" t="n"/>
      <c r="I1933" s="19" t="n"/>
      <c r="J1933" s="19" t="n"/>
      <c r="K1933" s="19" t="n"/>
      <c r="L1933" s="19" t="n"/>
      <c r="M1933" s="19" t="n"/>
    </row>
    <row r="1934">
      <c r="A1934" s="19" t="n"/>
      <c r="B1934" s="19" t="n"/>
      <c r="C1934" s="19" t="n"/>
      <c r="D1934" s="19" t="n"/>
      <c r="E1934" s="19" t="n"/>
      <c r="F1934" s="19" t="n"/>
      <c r="G1934" s="19" t="n"/>
      <c r="H1934" s="19" t="n"/>
      <c r="I1934" s="19" t="n"/>
      <c r="J1934" s="19" t="n"/>
      <c r="K1934" s="19" t="n"/>
      <c r="L1934" s="19" t="n"/>
      <c r="M1934" s="19" t="n"/>
    </row>
    <row r="1935">
      <c r="A1935" s="19" t="n"/>
      <c r="B1935" s="19" t="n"/>
      <c r="C1935" s="19" t="n"/>
      <c r="D1935" s="19" t="n"/>
      <c r="E1935" s="19" t="n"/>
      <c r="F1935" s="19" t="n"/>
      <c r="G1935" s="19" t="n"/>
      <c r="H1935" s="19" t="n"/>
      <c r="I1935" s="19" t="n"/>
      <c r="J1935" s="19" t="n"/>
      <c r="K1935" s="19" t="n"/>
      <c r="L1935" s="19" t="n"/>
      <c r="M1935" s="19" t="n"/>
    </row>
    <row r="1936">
      <c r="A1936" s="19" t="n"/>
      <c r="B1936" s="19" t="n"/>
      <c r="C1936" s="19" t="n"/>
      <c r="D1936" s="19" t="n"/>
      <c r="E1936" s="19" t="n"/>
      <c r="F1936" s="19" t="n"/>
      <c r="G1936" s="19" t="n"/>
      <c r="H1936" s="19" t="n"/>
      <c r="I1936" s="19" t="n"/>
      <c r="J1936" s="19" t="n"/>
      <c r="K1936" s="19" t="n"/>
      <c r="L1936" s="19" t="n"/>
      <c r="M1936" s="19" t="n"/>
    </row>
    <row r="1937">
      <c r="A1937" s="19" t="n"/>
      <c r="B1937" s="19" t="n"/>
      <c r="C1937" s="19" t="n"/>
      <c r="D1937" s="19" t="n"/>
      <c r="E1937" s="19" t="n"/>
      <c r="F1937" s="19" t="n"/>
      <c r="G1937" s="19" t="n"/>
      <c r="H1937" s="19" t="n"/>
      <c r="I1937" s="19" t="n"/>
      <c r="J1937" s="19" t="n"/>
      <c r="K1937" s="19" t="n"/>
      <c r="L1937" s="19" t="n"/>
      <c r="M1937" s="19" t="n"/>
    </row>
    <row r="1938">
      <c r="A1938" s="19" t="n"/>
      <c r="B1938" s="19" t="n"/>
      <c r="C1938" s="19" t="n"/>
      <c r="D1938" s="19" t="n"/>
      <c r="E1938" s="19" t="n"/>
      <c r="F1938" s="19" t="n"/>
      <c r="G1938" s="19" t="n"/>
      <c r="H1938" s="19" t="n"/>
      <c r="I1938" s="19" t="n"/>
      <c r="J1938" s="19" t="n"/>
      <c r="K1938" s="19" t="n"/>
      <c r="L1938" s="19" t="n"/>
      <c r="M1938" s="19" t="n"/>
    </row>
    <row r="1939">
      <c r="A1939" s="19" t="n"/>
      <c r="B1939" s="19" t="n"/>
      <c r="C1939" s="19" t="n"/>
      <c r="D1939" s="19" t="n"/>
      <c r="E1939" s="19" t="n"/>
      <c r="F1939" s="19" t="n"/>
      <c r="G1939" s="19" t="n"/>
      <c r="H1939" s="19" t="n"/>
      <c r="I1939" s="19" t="n"/>
      <c r="J1939" s="19" t="n"/>
      <c r="K1939" s="19" t="n"/>
      <c r="L1939" s="19" t="n"/>
      <c r="M1939" s="19" t="n"/>
    </row>
    <row r="1940">
      <c r="A1940" s="19" t="n"/>
      <c r="B1940" s="19" t="n"/>
      <c r="C1940" s="19" t="n"/>
      <c r="D1940" s="19" t="n"/>
      <c r="E1940" s="19" t="n"/>
      <c r="F1940" s="19" t="n"/>
      <c r="G1940" s="19" t="n"/>
      <c r="H1940" s="19" t="n"/>
      <c r="I1940" s="19" t="n"/>
      <c r="J1940" s="19" t="n"/>
      <c r="K1940" s="19" t="n"/>
      <c r="L1940" s="19" t="n"/>
      <c r="M1940" s="19" t="n"/>
    </row>
    <row r="1941">
      <c r="A1941" s="19" t="n"/>
      <c r="B1941" s="19" t="n"/>
      <c r="C1941" s="19" t="n"/>
      <c r="D1941" s="19" t="n"/>
      <c r="E1941" s="19" t="n"/>
      <c r="F1941" s="19" t="n"/>
      <c r="G1941" s="19" t="n"/>
      <c r="H1941" s="19" t="n"/>
      <c r="I1941" s="19" t="n"/>
      <c r="J1941" s="19" t="n"/>
      <c r="K1941" s="19" t="n"/>
      <c r="L1941" s="19" t="n"/>
      <c r="M1941" s="19" t="n"/>
    </row>
    <row r="1942">
      <c r="A1942" s="19" t="n"/>
      <c r="B1942" s="19" t="n"/>
      <c r="C1942" s="19" t="n"/>
      <c r="D1942" s="19" t="n"/>
      <c r="E1942" s="19" t="n"/>
      <c r="F1942" s="19" t="n"/>
      <c r="G1942" s="19" t="n"/>
      <c r="H1942" s="19" t="n"/>
      <c r="I1942" s="19" t="n"/>
      <c r="J1942" s="19" t="n"/>
      <c r="K1942" s="19" t="n"/>
      <c r="L1942" s="19" t="n"/>
      <c r="M1942" s="19" t="n"/>
    </row>
    <row r="1943">
      <c r="A1943" s="19" t="n"/>
      <c r="B1943" s="19" t="n"/>
      <c r="C1943" s="19" t="n"/>
      <c r="D1943" s="19" t="n"/>
      <c r="E1943" s="19" t="n"/>
      <c r="F1943" s="19" t="n"/>
      <c r="G1943" s="19" t="n"/>
      <c r="H1943" s="19" t="n"/>
      <c r="I1943" s="19" t="n"/>
      <c r="J1943" s="19" t="n"/>
      <c r="K1943" s="19" t="n"/>
      <c r="L1943" s="19" t="n"/>
      <c r="M1943" s="19" t="n"/>
    </row>
    <row r="1944">
      <c r="A1944" s="19" t="n"/>
      <c r="B1944" s="19" t="n"/>
      <c r="C1944" s="19" t="n"/>
      <c r="D1944" s="19" t="n"/>
      <c r="E1944" s="19" t="n"/>
      <c r="F1944" s="19" t="n"/>
      <c r="G1944" s="19" t="n"/>
      <c r="H1944" s="19" t="n"/>
      <c r="I1944" s="19" t="n"/>
      <c r="J1944" s="19" t="n"/>
      <c r="K1944" s="19" t="n"/>
      <c r="L1944" s="19" t="n"/>
      <c r="M1944" s="19" t="n"/>
    </row>
    <row r="1945">
      <c r="A1945" s="19" t="n"/>
      <c r="B1945" s="19" t="n"/>
      <c r="C1945" s="19" t="n"/>
      <c r="D1945" s="19" t="n"/>
      <c r="E1945" s="19" t="n"/>
      <c r="F1945" s="19" t="n"/>
      <c r="G1945" s="19" t="n"/>
      <c r="H1945" s="19" t="n"/>
      <c r="I1945" s="19" t="n"/>
      <c r="J1945" s="19" t="n"/>
      <c r="K1945" s="19" t="n"/>
      <c r="L1945" s="19" t="n"/>
      <c r="M1945" s="19" t="n"/>
    </row>
    <row r="1946">
      <c r="A1946" s="19" t="n"/>
      <c r="B1946" s="19" t="n"/>
      <c r="C1946" s="19" t="n"/>
      <c r="D1946" s="19" t="n"/>
      <c r="E1946" s="19" t="n"/>
      <c r="F1946" s="19" t="n"/>
      <c r="G1946" s="19" t="n"/>
      <c r="H1946" s="19" t="n"/>
      <c r="I1946" s="19" t="n"/>
      <c r="J1946" s="19" t="n"/>
      <c r="K1946" s="19" t="n"/>
      <c r="L1946" s="19" t="n"/>
      <c r="M1946" s="19" t="n"/>
    </row>
    <row r="1947">
      <c r="A1947" s="19" t="n"/>
      <c r="B1947" s="19" t="n"/>
      <c r="C1947" s="19" t="n"/>
      <c r="D1947" s="19" t="n"/>
      <c r="E1947" s="19" t="n"/>
      <c r="F1947" s="19" t="n"/>
      <c r="G1947" s="19" t="n"/>
      <c r="H1947" s="19" t="n"/>
      <c r="I1947" s="19" t="n"/>
      <c r="J1947" s="19" t="n"/>
      <c r="K1947" s="19" t="n"/>
      <c r="L1947" s="19" t="n"/>
      <c r="M1947" s="19" t="n"/>
    </row>
    <row r="1948">
      <c r="A1948" s="19" t="n"/>
      <c r="B1948" s="19" t="n"/>
      <c r="C1948" s="19" t="n"/>
      <c r="D1948" s="19" t="n"/>
      <c r="E1948" s="19" t="n"/>
      <c r="F1948" s="19" t="n"/>
      <c r="G1948" s="19" t="n"/>
      <c r="H1948" s="19" t="n"/>
      <c r="I1948" s="19" t="n"/>
      <c r="J1948" s="19" t="n"/>
      <c r="K1948" s="19" t="n"/>
      <c r="L1948" s="19" t="n"/>
      <c r="M1948" s="19" t="n"/>
    </row>
    <row r="1949">
      <c r="A1949" s="19" t="n"/>
      <c r="B1949" s="19" t="n"/>
      <c r="C1949" s="19" t="n"/>
      <c r="D1949" s="19" t="n"/>
      <c r="E1949" s="19" t="n"/>
      <c r="F1949" s="19" t="n"/>
      <c r="G1949" s="19" t="n"/>
      <c r="H1949" s="19" t="n"/>
      <c r="I1949" s="19" t="n"/>
      <c r="J1949" s="19" t="n"/>
      <c r="K1949" s="19" t="n"/>
      <c r="L1949" s="19" t="n"/>
      <c r="M1949" s="19" t="n"/>
    </row>
    <row r="1950">
      <c r="A1950" s="19" t="n"/>
      <c r="B1950" s="19" t="n"/>
      <c r="C1950" s="19" t="n"/>
      <c r="D1950" s="19" t="n"/>
      <c r="E1950" s="19" t="n"/>
      <c r="F1950" s="19" t="n"/>
      <c r="G1950" s="19" t="n"/>
      <c r="H1950" s="19" t="n"/>
      <c r="I1950" s="19" t="n"/>
      <c r="J1950" s="19" t="n"/>
      <c r="K1950" s="19" t="n"/>
      <c r="L1950" s="19" t="n"/>
      <c r="M1950" s="19" t="n"/>
    </row>
    <row r="1951">
      <c r="A1951" s="19" t="n"/>
      <c r="B1951" s="19" t="n"/>
      <c r="C1951" s="19" t="n"/>
      <c r="D1951" s="19" t="n"/>
      <c r="E1951" s="19" t="n"/>
      <c r="F1951" s="19" t="n"/>
      <c r="G1951" s="19" t="n"/>
      <c r="H1951" s="19" t="n"/>
      <c r="I1951" s="19" t="n"/>
      <c r="J1951" s="19" t="n"/>
      <c r="K1951" s="19" t="n"/>
      <c r="L1951" s="19" t="n"/>
      <c r="M1951" s="19" t="n"/>
    </row>
    <row r="1952">
      <c r="A1952" s="19" t="n"/>
      <c r="B1952" s="19" t="n"/>
      <c r="C1952" s="19" t="n"/>
      <c r="D1952" s="19" t="n"/>
      <c r="E1952" s="19" t="n"/>
      <c r="F1952" s="19" t="n"/>
      <c r="G1952" s="19" t="n"/>
      <c r="H1952" s="19" t="n"/>
      <c r="I1952" s="19" t="n"/>
      <c r="J1952" s="19" t="n"/>
      <c r="K1952" s="19" t="n"/>
      <c r="L1952" s="19" t="n"/>
      <c r="M1952" s="19" t="n"/>
    </row>
    <row r="1953">
      <c r="A1953" s="19" t="n"/>
      <c r="B1953" s="19" t="n"/>
      <c r="C1953" s="19" t="n"/>
      <c r="D1953" s="19" t="n"/>
      <c r="E1953" s="19" t="n"/>
      <c r="F1953" s="19" t="n"/>
      <c r="G1953" s="19" t="n"/>
      <c r="H1953" s="19" t="n"/>
      <c r="I1953" s="19" t="n"/>
      <c r="J1953" s="19" t="n"/>
      <c r="K1953" s="19" t="n"/>
      <c r="L1953" s="19" t="n"/>
      <c r="M1953" s="19" t="n"/>
    </row>
    <row r="1954">
      <c r="A1954" s="19" t="n"/>
      <c r="B1954" s="19" t="n"/>
      <c r="C1954" s="19" t="n"/>
      <c r="D1954" s="19" t="n"/>
      <c r="E1954" s="19" t="n"/>
      <c r="F1954" s="19" t="n"/>
      <c r="G1954" s="19" t="n"/>
      <c r="H1954" s="19" t="n"/>
      <c r="I1954" s="19" t="n"/>
      <c r="J1954" s="19" t="n"/>
      <c r="K1954" s="19" t="n"/>
      <c r="L1954" s="19" t="n"/>
      <c r="M1954" s="19" t="n"/>
    </row>
    <row r="1955">
      <c r="A1955" s="19" t="n"/>
      <c r="B1955" s="19" t="n"/>
      <c r="C1955" s="19" t="n"/>
      <c r="D1955" s="19" t="n"/>
      <c r="E1955" s="19" t="n"/>
      <c r="F1955" s="19" t="n"/>
      <c r="G1955" s="19" t="n"/>
      <c r="H1955" s="19" t="n"/>
      <c r="I1955" s="19" t="n"/>
      <c r="J1955" s="19" t="n"/>
      <c r="K1955" s="19" t="n"/>
      <c r="L1955" s="19" t="n"/>
      <c r="M1955" s="19" t="n"/>
    </row>
    <row r="1956">
      <c r="A1956" s="19" t="n"/>
      <c r="B1956" s="19" t="n"/>
      <c r="C1956" s="19" t="n"/>
      <c r="D1956" s="19" t="n"/>
      <c r="E1956" s="19" t="n"/>
      <c r="F1956" s="19" t="n"/>
      <c r="G1956" s="19" t="n"/>
      <c r="H1956" s="19" t="n"/>
      <c r="I1956" s="19" t="n"/>
      <c r="J1956" s="19" t="n"/>
      <c r="K1956" s="19" t="n"/>
      <c r="L1956" s="19" t="n"/>
      <c r="M1956" s="19" t="n"/>
    </row>
    <row r="1957">
      <c r="A1957" s="19" t="n"/>
      <c r="B1957" s="19" t="n"/>
      <c r="C1957" s="19" t="n"/>
      <c r="D1957" s="19" t="n"/>
      <c r="E1957" s="19" t="n"/>
      <c r="F1957" s="19" t="n"/>
      <c r="G1957" s="19" t="n"/>
      <c r="H1957" s="19" t="n"/>
      <c r="I1957" s="19" t="n"/>
      <c r="J1957" s="19" t="n"/>
      <c r="K1957" s="19" t="n"/>
      <c r="L1957" s="19" t="n"/>
      <c r="M1957" s="19" t="n"/>
    </row>
    <row r="1958">
      <c r="A1958" s="19" t="n"/>
      <c r="B1958" s="19" t="n"/>
      <c r="C1958" s="19" t="n"/>
      <c r="D1958" s="19" t="n"/>
      <c r="E1958" s="19" t="n"/>
      <c r="F1958" s="19" t="n"/>
      <c r="G1958" s="19" t="n"/>
      <c r="H1958" s="19" t="n"/>
      <c r="I1958" s="19" t="n"/>
      <c r="J1958" s="19" t="n"/>
      <c r="K1958" s="19" t="n"/>
      <c r="L1958" s="19" t="n"/>
      <c r="M1958" s="19" t="n"/>
    </row>
    <row r="1959">
      <c r="A1959" s="19" t="n"/>
      <c r="B1959" s="19" t="n"/>
      <c r="C1959" s="19" t="n"/>
      <c r="D1959" s="19" t="n"/>
      <c r="E1959" s="19" t="n"/>
      <c r="F1959" s="19" t="n"/>
      <c r="G1959" s="19" t="n"/>
      <c r="H1959" s="19" t="n"/>
      <c r="I1959" s="19" t="n"/>
      <c r="J1959" s="19" t="n"/>
      <c r="K1959" s="19" t="n"/>
      <c r="L1959" s="19" t="n"/>
      <c r="M1959" s="19" t="n"/>
    </row>
    <row r="1960">
      <c r="A1960" s="19" t="n"/>
      <c r="B1960" s="19" t="n"/>
      <c r="C1960" s="19" t="n"/>
      <c r="D1960" s="19" t="n"/>
      <c r="E1960" s="19" t="n"/>
      <c r="F1960" s="19" t="n"/>
      <c r="G1960" s="19" t="n"/>
      <c r="H1960" s="19" t="n"/>
      <c r="I1960" s="19" t="n"/>
      <c r="J1960" s="19" t="n"/>
      <c r="K1960" s="19" t="n"/>
      <c r="L1960" s="19" t="n"/>
      <c r="M1960" s="19" t="n"/>
    </row>
    <row r="1961">
      <c r="A1961" s="19" t="n"/>
      <c r="B1961" s="19" t="n"/>
      <c r="C1961" s="19" t="n"/>
      <c r="D1961" s="19" t="n"/>
      <c r="E1961" s="19" t="n"/>
      <c r="F1961" s="19" t="n"/>
      <c r="G1961" s="19" t="n"/>
      <c r="H1961" s="19" t="n"/>
      <c r="I1961" s="19" t="n"/>
      <c r="J1961" s="19" t="n"/>
      <c r="K1961" s="19" t="n"/>
      <c r="L1961" s="19" t="n"/>
      <c r="M1961" s="19" t="n"/>
    </row>
    <row r="1962">
      <c r="A1962" s="19" t="n"/>
      <c r="B1962" s="19" t="n"/>
      <c r="C1962" s="19" t="n"/>
      <c r="D1962" s="19" t="n"/>
      <c r="E1962" s="19" t="n"/>
      <c r="F1962" s="19" t="n"/>
      <c r="G1962" s="19" t="n"/>
      <c r="H1962" s="19" t="n"/>
      <c r="I1962" s="19" t="n"/>
      <c r="J1962" s="19" t="n"/>
      <c r="K1962" s="19" t="n"/>
      <c r="L1962" s="19" t="n"/>
      <c r="M1962" s="19" t="n"/>
    </row>
    <row r="1963">
      <c r="A1963" s="19" t="n"/>
      <c r="B1963" s="19" t="n"/>
      <c r="C1963" s="19" t="n"/>
      <c r="D1963" s="19" t="n"/>
      <c r="E1963" s="19" t="n"/>
      <c r="F1963" s="19" t="n"/>
      <c r="G1963" s="19" t="n"/>
      <c r="H1963" s="19" t="n"/>
      <c r="I1963" s="19" t="n"/>
      <c r="J1963" s="19" t="n"/>
      <c r="K1963" s="19" t="n"/>
      <c r="L1963" s="19" t="n"/>
      <c r="M1963" s="19" t="n"/>
    </row>
    <row r="1964">
      <c r="A1964" s="19" t="n"/>
      <c r="B1964" s="19" t="n"/>
      <c r="C1964" s="19" t="n"/>
      <c r="D1964" s="19" t="n"/>
      <c r="E1964" s="19" t="n"/>
      <c r="F1964" s="19" t="n"/>
      <c r="G1964" s="19" t="n"/>
      <c r="H1964" s="19" t="n"/>
      <c r="I1964" s="19" t="n"/>
      <c r="J1964" s="19" t="n"/>
      <c r="K1964" s="19" t="n"/>
      <c r="L1964" s="19" t="n"/>
      <c r="M1964" s="19" t="n"/>
    </row>
    <row r="1965">
      <c r="A1965" s="19" t="n"/>
      <c r="B1965" s="19" t="n"/>
      <c r="C1965" s="19" t="n"/>
      <c r="D1965" s="19" t="n"/>
      <c r="E1965" s="19" t="n"/>
      <c r="F1965" s="19" t="n"/>
      <c r="G1965" s="19" t="n"/>
      <c r="H1965" s="19" t="n"/>
      <c r="I1965" s="19" t="n"/>
      <c r="J1965" s="19" t="n"/>
      <c r="K1965" s="19" t="n"/>
      <c r="L1965" s="19" t="n"/>
      <c r="M1965" s="19" t="n"/>
    </row>
    <row r="1966">
      <c r="A1966" s="19" t="n"/>
      <c r="B1966" s="19" t="n"/>
      <c r="C1966" s="19" t="n"/>
      <c r="D1966" s="19" t="n"/>
      <c r="E1966" s="19" t="n"/>
      <c r="F1966" s="19" t="n"/>
      <c r="G1966" s="19" t="n"/>
      <c r="H1966" s="19" t="n"/>
      <c r="I1966" s="19" t="n"/>
      <c r="J1966" s="19" t="n"/>
      <c r="K1966" s="19" t="n"/>
      <c r="L1966" s="19" t="n"/>
      <c r="M1966" s="19" t="n"/>
    </row>
    <row r="1967">
      <c r="A1967" s="19" t="n"/>
      <c r="B1967" s="19" t="n"/>
      <c r="C1967" s="19" t="n"/>
      <c r="D1967" s="19" t="n"/>
      <c r="E1967" s="19" t="n"/>
      <c r="F1967" s="19" t="n"/>
      <c r="G1967" s="19" t="n"/>
      <c r="H1967" s="19" t="n"/>
      <c r="I1967" s="19" t="n"/>
      <c r="J1967" s="19" t="n"/>
      <c r="K1967" s="19" t="n"/>
      <c r="L1967" s="19" t="n"/>
      <c r="M1967" s="19" t="n"/>
    </row>
    <row r="1968">
      <c r="A1968" s="19" t="n"/>
      <c r="B1968" s="19" t="n"/>
      <c r="C1968" s="19" t="n"/>
      <c r="D1968" s="19" t="n"/>
      <c r="E1968" s="19" t="n"/>
      <c r="F1968" s="19" t="n"/>
      <c r="G1968" s="19" t="n"/>
      <c r="H1968" s="19" t="n"/>
      <c r="I1968" s="19" t="n"/>
      <c r="J1968" s="19" t="n"/>
      <c r="K1968" s="19" t="n"/>
      <c r="L1968" s="19" t="n"/>
      <c r="M1968" s="19" t="n"/>
    </row>
    <row r="1969">
      <c r="A1969" s="19" t="n"/>
      <c r="B1969" s="19" t="n"/>
      <c r="C1969" s="19" t="n"/>
      <c r="D1969" s="19" t="n"/>
      <c r="E1969" s="19" t="n"/>
      <c r="F1969" s="19" t="n"/>
      <c r="G1969" s="19" t="n"/>
      <c r="H1969" s="19" t="n"/>
      <c r="I1969" s="19" t="n"/>
      <c r="J1969" s="19" t="n"/>
      <c r="K1969" s="19" t="n"/>
      <c r="L1969" s="19" t="n"/>
      <c r="M1969" s="19" t="n"/>
    </row>
    <row r="1970">
      <c r="A1970" s="19" t="n"/>
      <c r="B1970" s="19" t="n"/>
      <c r="C1970" s="19" t="n"/>
      <c r="D1970" s="19" t="n"/>
      <c r="E1970" s="19" t="n"/>
      <c r="F1970" s="19" t="n"/>
      <c r="G1970" s="19" t="n"/>
      <c r="H1970" s="19" t="n"/>
      <c r="I1970" s="19" t="n"/>
      <c r="J1970" s="19" t="n"/>
      <c r="K1970" s="19" t="n"/>
      <c r="L1970" s="19" t="n"/>
      <c r="M1970" s="19" t="n"/>
    </row>
    <row r="1971">
      <c r="A1971" s="19" t="n"/>
      <c r="B1971" s="19" t="n"/>
      <c r="C1971" s="19" t="n"/>
      <c r="D1971" s="19" t="n"/>
      <c r="E1971" s="19" t="n"/>
      <c r="F1971" s="19" t="n"/>
      <c r="G1971" s="19" t="n"/>
      <c r="H1971" s="19" t="n"/>
      <c r="I1971" s="19" t="n"/>
      <c r="J1971" s="19" t="n"/>
      <c r="K1971" s="19" t="n"/>
      <c r="L1971" s="19" t="n"/>
      <c r="M1971" s="19" t="n"/>
    </row>
    <row r="1972">
      <c r="A1972" s="19" t="n"/>
      <c r="B1972" s="19" t="n"/>
      <c r="C1972" s="19" t="n"/>
      <c r="D1972" s="19" t="n"/>
      <c r="E1972" s="19" t="n"/>
      <c r="F1972" s="19" t="n"/>
      <c r="G1972" s="19" t="n"/>
      <c r="H1972" s="19" t="n"/>
      <c r="I1972" s="19" t="n"/>
      <c r="J1972" s="19" t="n"/>
      <c r="K1972" s="19" t="n"/>
      <c r="L1972" s="19" t="n"/>
      <c r="M1972" s="19" t="n"/>
    </row>
    <row r="1973">
      <c r="A1973" s="19" t="n"/>
      <c r="B1973" s="19" t="n"/>
      <c r="C1973" s="19" t="n"/>
      <c r="D1973" s="19" t="n"/>
      <c r="E1973" s="19" t="n"/>
      <c r="F1973" s="19" t="n"/>
      <c r="G1973" s="19" t="n"/>
      <c r="H1973" s="19" t="n"/>
      <c r="I1973" s="19" t="n"/>
      <c r="J1973" s="19" t="n"/>
      <c r="K1973" s="19" t="n"/>
      <c r="L1973" s="19" t="n"/>
      <c r="M1973" s="19" t="n"/>
    </row>
    <row r="1974">
      <c r="A1974" s="19" t="n"/>
      <c r="B1974" s="19" t="n"/>
      <c r="C1974" s="19" t="n"/>
      <c r="D1974" s="19" t="n"/>
      <c r="E1974" s="19" t="n"/>
      <c r="F1974" s="19" t="n"/>
      <c r="G1974" s="19" t="n"/>
      <c r="H1974" s="19" t="n"/>
      <c r="I1974" s="19" t="n"/>
      <c r="J1974" s="19" t="n"/>
      <c r="K1974" s="19" t="n"/>
      <c r="L1974" s="19" t="n"/>
      <c r="M1974" s="19" t="n"/>
    </row>
    <row r="1975">
      <c r="A1975" s="19" t="n"/>
      <c r="B1975" s="19" t="n"/>
      <c r="C1975" s="19" t="n"/>
      <c r="D1975" s="19" t="n"/>
      <c r="E1975" s="19" t="n"/>
      <c r="F1975" s="19" t="n"/>
      <c r="G1975" s="19" t="n"/>
      <c r="H1975" s="19" t="n"/>
      <c r="I1975" s="19" t="n"/>
      <c r="J1975" s="19" t="n"/>
      <c r="K1975" s="19" t="n"/>
      <c r="L1975" s="19" t="n"/>
      <c r="M1975" s="19" t="n"/>
    </row>
    <row r="1976">
      <c r="A1976" s="19" t="n"/>
      <c r="B1976" s="19" t="n"/>
      <c r="C1976" s="19" t="n"/>
      <c r="D1976" s="19" t="n"/>
      <c r="E1976" s="19" t="n"/>
      <c r="F1976" s="19" t="n"/>
      <c r="G1976" s="19" t="n"/>
      <c r="H1976" s="19" t="n"/>
      <c r="I1976" s="19" t="n"/>
      <c r="J1976" s="19" t="n"/>
      <c r="K1976" s="19" t="n"/>
      <c r="L1976" s="19" t="n"/>
      <c r="M1976" s="19" t="n"/>
    </row>
    <row r="1977">
      <c r="A1977" s="19" t="n"/>
      <c r="B1977" s="19" t="n"/>
      <c r="C1977" s="19" t="n"/>
      <c r="D1977" s="19" t="n"/>
      <c r="E1977" s="19" t="n"/>
      <c r="F1977" s="19" t="n"/>
      <c r="G1977" s="19" t="n"/>
      <c r="H1977" s="19" t="n"/>
      <c r="I1977" s="19" t="n"/>
      <c r="J1977" s="19" t="n"/>
      <c r="K1977" s="19" t="n"/>
      <c r="L1977" s="19" t="n"/>
      <c r="M1977" s="19" t="n"/>
    </row>
    <row r="1978">
      <c r="A1978" s="19" t="n"/>
      <c r="B1978" s="19" t="n"/>
      <c r="C1978" s="19" t="n"/>
      <c r="D1978" s="19" t="n"/>
      <c r="E1978" s="19" t="n"/>
      <c r="F1978" s="19" t="n"/>
      <c r="G1978" s="19" t="n"/>
      <c r="H1978" s="19" t="n"/>
      <c r="I1978" s="19" t="n"/>
      <c r="J1978" s="19" t="n"/>
      <c r="K1978" s="19" t="n"/>
      <c r="L1978" s="19" t="n"/>
      <c r="M1978" s="19" t="n"/>
    </row>
    <row r="1979">
      <c r="A1979" s="19" t="n"/>
      <c r="B1979" s="19" t="n"/>
      <c r="C1979" s="19" t="n"/>
      <c r="D1979" s="19" t="n"/>
      <c r="E1979" s="19" t="n"/>
      <c r="F1979" s="19" t="n"/>
      <c r="G1979" s="19" t="n"/>
      <c r="H1979" s="19" t="n"/>
      <c r="I1979" s="19" t="n"/>
      <c r="J1979" s="19" t="n"/>
      <c r="K1979" s="19" t="n"/>
      <c r="L1979" s="19" t="n"/>
      <c r="M1979" s="19" t="n"/>
    </row>
    <row r="1980">
      <c r="A1980" s="19" t="n"/>
      <c r="B1980" s="19" t="n"/>
      <c r="C1980" s="19" t="n"/>
      <c r="D1980" s="19" t="n"/>
      <c r="E1980" s="19" t="n"/>
      <c r="F1980" s="19" t="n"/>
      <c r="G1980" s="19" t="n"/>
      <c r="H1980" s="19" t="n"/>
      <c r="I1980" s="19" t="n"/>
      <c r="J1980" s="19" t="n"/>
      <c r="K1980" s="19" t="n"/>
      <c r="L1980" s="19" t="n"/>
      <c r="M1980" s="19" t="n"/>
    </row>
    <row r="1981">
      <c r="A1981" s="19" t="n"/>
      <c r="B1981" s="19" t="n"/>
      <c r="C1981" s="19" t="n"/>
      <c r="D1981" s="19" t="n"/>
      <c r="E1981" s="19" t="n"/>
      <c r="F1981" s="19" t="n"/>
      <c r="G1981" s="19" t="n"/>
      <c r="H1981" s="19" t="n"/>
      <c r="I1981" s="19" t="n"/>
      <c r="J1981" s="19" t="n"/>
      <c r="K1981" s="19" t="n"/>
      <c r="L1981" s="19" t="n"/>
      <c r="M1981" s="19" t="n"/>
    </row>
    <row r="1982">
      <c r="A1982" s="19" t="n"/>
      <c r="B1982" s="19" t="n"/>
      <c r="C1982" s="19" t="n"/>
      <c r="D1982" s="19" t="n"/>
      <c r="E1982" s="19" t="n"/>
      <c r="F1982" s="19" t="n"/>
      <c r="G1982" s="19" t="n"/>
      <c r="H1982" s="19" t="n"/>
      <c r="I1982" s="19" t="n"/>
      <c r="J1982" s="19" t="n"/>
      <c r="K1982" s="19" t="n"/>
      <c r="L1982" s="19" t="n"/>
      <c r="M1982" s="19" t="n"/>
    </row>
    <row r="1983">
      <c r="A1983" s="19" t="n"/>
      <c r="B1983" s="19" t="n"/>
      <c r="C1983" s="19" t="n"/>
      <c r="D1983" s="19" t="n"/>
      <c r="E1983" s="19" t="n"/>
      <c r="F1983" s="19" t="n"/>
      <c r="G1983" s="19" t="n"/>
      <c r="H1983" s="19" t="n"/>
      <c r="I1983" s="19" t="n"/>
      <c r="J1983" s="19" t="n"/>
      <c r="K1983" s="19" t="n"/>
      <c r="L1983" s="19" t="n"/>
      <c r="M1983" s="19" t="n"/>
    </row>
    <row r="1984">
      <c r="A1984" s="19" t="n"/>
      <c r="B1984" s="19" t="n"/>
      <c r="C1984" s="19" t="n"/>
      <c r="D1984" s="19" t="n"/>
      <c r="E1984" s="19" t="n"/>
      <c r="F1984" s="19" t="n"/>
      <c r="G1984" s="19" t="n"/>
      <c r="H1984" s="19" t="n"/>
      <c r="I1984" s="19" t="n"/>
      <c r="J1984" s="19" t="n"/>
      <c r="K1984" s="19" t="n"/>
      <c r="L1984" s="19" t="n"/>
      <c r="M1984" s="19" t="n"/>
    </row>
    <row r="1985">
      <c r="A1985" s="19" t="n"/>
      <c r="B1985" s="19" t="n"/>
      <c r="C1985" s="19" t="n"/>
      <c r="D1985" s="19" t="n"/>
      <c r="E1985" s="19" t="n"/>
      <c r="F1985" s="19" t="n"/>
      <c r="G1985" s="19" t="n"/>
      <c r="H1985" s="19" t="n"/>
      <c r="I1985" s="19" t="n"/>
      <c r="J1985" s="19" t="n"/>
      <c r="K1985" s="19" t="n"/>
      <c r="L1985" s="19" t="n"/>
      <c r="M1985" s="19" t="n"/>
    </row>
    <row r="1986">
      <c r="A1986" s="19" t="n"/>
      <c r="B1986" s="19" t="n"/>
      <c r="C1986" s="19" t="n"/>
      <c r="D1986" s="19" t="n"/>
      <c r="E1986" s="19" t="n"/>
      <c r="F1986" s="19" t="n"/>
      <c r="G1986" s="19" t="n"/>
      <c r="H1986" s="19" t="n"/>
      <c r="I1986" s="19" t="n"/>
      <c r="J1986" s="19" t="n"/>
      <c r="K1986" s="19" t="n"/>
      <c r="L1986" s="19" t="n"/>
      <c r="M1986" s="19" t="n"/>
    </row>
    <row r="1987">
      <c r="A1987" s="19" t="n"/>
      <c r="B1987" s="19" t="n"/>
      <c r="C1987" s="19" t="n"/>
      <c r="D1987" s="19" t="n"/>
      <c r="E1987" s="19" t="n"/>
      <c r="F1987" s="19" t="n"/>
      <c r="G1987" s="19" t="n"/>
      <c r="H1987" s="19" t="n"/>
      <c r="I1987" s="19" t="n"/>
      <c r="J1987" s="19" t="n"/>
      <c r="K1987" s="19" t="n"/>
      <c r="L1987" s="19" t="n"/>
      <c r="M1987" s="19" t="n"/>
    </row>
    <row r="1988">
      <c r="A1988" s="19" t="n"/>
      <c r="B1988" s="19" t="n"/>
      <c r="C1988" s="19" t="n"/>
      <c r="D1988" s="19" t="n"/>
      <c r="E1988" s="19" t="n"/>
      <c r="F1988" s="19" t="n"/>
      <c r="G1988" s="19" t="n"/>
      <c r="H1988" s="19" t="n"/>
      <c r="I1988" s="19" t="n"/>
      <c r="J1988" s="19" t="n"/>
      <c r="K1988" s="19" t="n"/>
      <c r="L1988" s="19" t="n"/>
      <c r="M1988" s="19" t="n"/>
    </row>
    <row r="1989">
      <c r="A1989" s="19" t="n"/>
      <c r="B1989" s="19" t="n"/>
      <c r="C1989" s="19" t="n"/>
      <c r="D1989" s="19" t="n"/>
      <c r="E1989" s="19" t="n"/>
      <c r="F1989" s="19" t="n"/>
      <c r="G1989" s="19" t="n"/>
      <c r="H1989" s="19" t="n"/>
      <c r="I1989" s="19" t="n"/>
      <c r="J1989" s="19" t="n"/>
      <c r="K1989" s="19" t="n"/>
      <c r="L1989" s="19" t="n"/>
      <c r="M1989" s="19" t="n"/>
    </row>
    <row r="1990">
      <c r="A1990" s="19" t="n"/>
      <c r="B1990" s="19" t="n"/>
      <c r="C1990" s="19" t="n"/>
      <c r="D1990" s="19" t="n"/>
      <c r="E1990" s="19" t="n"/>
      <c r="F1990" s="19" t="n"/>
      <c r="G1990" s="19" t="n"/>
      <c r="H1990" s="19" t="n"/>
      <c r="I1990" s="19" t="n"/>
      <c r="J1990" s="19" t="n"/>
      <c r="K1990" s="19" t="n"/>
      <c r="L1990" s="19" t="n"/>
      <c r="M1990" s="19" t="n"/>
    </row>
    <row r="1991">
      <c r="A1991" s="19" t="n"/>
      <c r="B1991" s="19" t="n"/>
      <c r="C1991" s="19" t="n"/>
      <c r="D1991" s="19" t="n"/>
      <c r="E1991" s="19" t="n"/>
      <c r="F1991" s="19" t="n"/>
      <c r="G1991" s="19" t="n"/>
      <c r="H1991" s="19" t="n"/>
      <c r="I1991" s="19" t="n"/>
      <c r="J1991" s="19" t="n"/>
      <c r="K1991" s="19" t="n"/>
      <c r="L1991" s="19" t="n"/>
      <c r="M1991" s="19" t="n"/>
    </row>
    <row r="1992">
      <c r="A1992" s="19" t="n"/>
      <c r="B1992" s="19" t="n"/>
      <c r="C1992" s="19" t="n"/>
      <c r="D1992" s="19" t="n"/>
      <c r="E1992" s="19" t="n"/>
      <c r="F1992" s="19" t="n"/>
      <c r="G1992" s="19" t="n"/>
      <c r="H1992" s="19" t="n"/>
      <c r="I1992" s="19" t="n"/>
      <c r="J1992" s="19" t="n"/>
      <c r="K1992" s="19" t="n"/>
      <c r="L1992" s="19" t="n"/>
      <c r="M1992" s="19" t="n"/>
    </row>
    <row r="1993">
      <c r="A1993" s="19" t="n"/>
      <c r="B1993" s="19" t="n"/>
      <c r="C1993" s="19" t="n"/>
      <c r="D1993" s="19" t="n"/>
      <c r="E1993" s="19" t="n"/>
      <c r="F1993" s="19" t="n"/>
      <c r="G1993" s="19" t="n"/>
      <c r="H1993" s="19" t="n"/>
      <c r="I1993" s="19" t="n"/>
      <c r="J1993" s="19" t="n"/>
      <c r="K1993" s="19" t="n"/>
      <c r="L1993" s="19" t="n"/>
      <c r="M1993" s="19" t="n"/>
    </row>
    <row r="1994">
      <c r="A1994" s="19" t="n"/>
      <c r="B1994" s="19" t="n"/>
      <c r="C1994" s="19" t="n"/>
      <c r="D1994" s="19" t="n"/>
      <c r="E1994" s="19" t="n"/>
      <c r="F1994" s="19" t="n"/>
      <c r="G1994" s="19" t="n"/>
      <c r="H1994" s="19" t="n"/>
      <c r="I1994" s="19" t="n"/>
      <c r="J1994" s="19" t="n"/>
      <c r="K1994" s="19" t="n"/>
      <c r="L1994" s="19" t="n"/>
      <c r="M1994" s="19" t="n"/>
    </row>
    <row r="1995">
      <c r="A1995" s="19" t="n"/>
      <c r="B1995" s="19" t="n"/>
      <c r="C1995" s="19" t="n"/>
      <c r="D1995" s="19" t="n"/>
      <c r="E1995" s="19" t="n"/>
      <c r="F1995" s="19" t="n"/>
      <c r="G1995" s="19" t="n"/>
      <c r="H1995" s="19" t="n"/>
      <c r="I1995" s="19" t="n"/>
      <c r="J1995" s="19" t="n"/>
      <c r="K1995" s="19" t="n"/>
      <c r="L1995" s="19" t="n"/>
      <c r="M1995" s="19" t="n"/>
    </row>
    <row r="1996">
      <c r="A1996" s="19" t="n"/>
      <c r="B1996" s="19" t="n"/>
      <c r="C1996" s="19" t="n"/>
      <c r="D1996" s="19" t="n"/>
      <c r="E1996" s="19" t="n"/>
      <c r="F1996" s="19" t="n"/>
      <c r="G1996" s="19" t="n"/>
      <c r="H1996" s="19" t="n"/>
      <c r="I1996" s="19" t="n"/>
      <c r="J1996" s="19" t="n"/>
      <c r="K1996" s="19" t="n"/>
      <c r="L1996" s="19" t="n"/>
      <c r="M1996" s="19" t="n"/>
    </row>
    <row r="1997">
      <c r="A1997" s="19" t="n"/>
      <c r="B1997" s="19" t="n"/>
      <c r="C1997" s="19" t="n"/>
      <c r="D1997" s="19" t="n"/>
      <c r="E1997" s="19" t="n"/>
      <c r="F1997" s="19" t="n"/>
      <c r="G1997" s="19" t="n"/>
      <c r="H1997" s="19" t="n"/>
      <c r="I1997" s="19" t="n"/>
      <c r="J1997" s="19" t="n"/>
      <c r="K1997" s="19" t="n"/>
      <c r="L1997" s="19" t="n"/>
      <c r="M1997" s="19" t="n"/>
    </row>
    <row r="1998">
      <c r="A1998" s="19" t="n"/>
      <c r="B1998" s="19" t="n"/>
      <c r="C1998" s="19" t="n"/>
      <c r="D1998" s="19" t="n"/>
      <c r="E1998" s="19" t="n"/>
      <c r="F1998" s="19" t="n"/>
      <c r="G1998" s="19" t="n"/>
      <c r="H1998" s="19" t="n"/>
      <c r="I1998" s="19" t="n"/>
      <c r="J1998" s="19" t="n"/>
      <c r="K1998" s="19" t="n"/>
      <c r="L1998" s="19" t="n"/>
      <c r="M1998" s="19" t="n"/>
    </row>
    <row r="1999">
      <c r="A1999" s="19" t="n"/>
      <c r="B1999" s="19" t="n"/>
      <c r="C1999" s="19" t="n"/>
      <c r="D1999" s="19" t="n"/>
      <c r="E1999" s="19" t="n"/>
      <c r="F1999" s="19" t="n"/>
      <c r="G1999" s="19" t="n"/>
      <c r="H1999" s="19" t="n"/>
      <c r="I1999" s="19" t="n"/>
      <c r="J1999" s="19" t="n"/>
      <c r="K1999" s="19" t="n"/>
      <c r="L1999" s="19" t="n"/>
      <c r="M1999" s="19" t="n"/>
    </row>
    <row r="2000">
      <c r="A2000" s="19" t="n"/>
      <c r="B2000" s="19" t="n"/>
      <c r="C2000" s="19" t="n"/>
      <c r="D2000" s="19" t="n"/>
      <c r="E2000" s="19" t="n"/>
      <c r="F2000" s="19" t="n"/>
      <c r="G2000" s="19" t="n"/>
      <c r="H2000" s="19" t="n"/>
      <c r="I2000" s="19" t="n"/>
      <c r="J2000" s="19" t="n"/>
      <c r="K2000" s="19" t="n"/>
      <c r="L2000" s="19" t="n"/>
      <c r="M2000" s="19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 password="CE4B"/>
  <conditionalFormatting sqref="I5:I2000">
    <cfRule type="expression" priority="1" dxfId="2" stopIfTrue="0">
      <formula>$I5="Available"</formula>
    </cfRule>
    <cfRule type="expression" priority="2" dxfId="1" stopIfTrue="0">
      <formula>$I5="Expired"</formula>
    </cfRule>
    <cfRule type="expression" priority="3" dxfId="3" stopIfTrue="0">
      <formula>OR($I5="Damaged",$I5="Missing",$I5="Disposed")</formula>
    </cfRule>
  </conditionalFormatting>
  <conditionalFormatting sqref="B5:B2000">
    <cfRule type="expression" priority="4" dxfId="1" stopIfTrue="0">
      <formula>COUNTIF($B$5:$B$2000,$B5)&gt;1</formula>
    </cfRule>
  </conditionalFormatting>
  <conditionalFormatting sqref="E5:E2000">
    <cfRule type="expression" priority="5" dxfId="1" stopIfTrue="0">
      <formula>AND($E5&lt;&gt;"",$E5&lt;TODAY())</formula>
    </cfRule>
    <cfRule type="expression" priority="6" dxfId="0" stopIfTrue="0">
      <formula>AND($E5&lt;&gt;"",$E5&gt;=TODAY(),$E5&lt;=TODAY()+90)</formula>
    </cfRule>
  </conditionalFormatting>
  <dataValidations count="4">
    <dataValidation sqref="I5:I2000" showDropDown="0" showInputMessage="0" showErrorMessage="1" allowBlank="1" errorTitle="Invalid value" error="Value not in list" type="list">
      <formula1>=lstStatusList</formula1>
    </dataValidation>
    <dataValidation sqref="L5:L2000" showDropDown="0" showInputMessage="0" showErrorMessage="1" allowBlank="1" errorTitle="Invalid value" error="Value not in list" type="list">
      <formula1>=lstDisposalReason</formula1>
    </dataValidation>
    <dataValidation sqref="C5:C2000" showDropDown="0" showInputMessage="0" showErrorMessage="1" allowBlank="1" errorTitle="Invalid value" error="Value not in list" type="list">
      <formula1>=lstProductsProductID</formula1>
    </dataValidation>
    <dataValidation sqref="H5:H2000" showDropDown="0" showInputMessage="0" showErrorMessage="1" allowBlank="1" errorTitle="Invalid value" error="Value not in list" type="list">
      <formula1>=lstLocationIDs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P200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2" customWidth="1" min="5" max="5"/>
    <col width="11" customWidth="1" min="6" max="6"/>
    <col width="28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24" customWidth="1" min="16" max="16"/>
  </cols>
  <sheetData>
    <row r="1">
      <c r="A1" s="1" t="inlineStr">
        <is>
          <t>tblTransactions</t>
        </is>
      </c>
    </row>
    <row r="2">
      <c r="A2" s="2" t="inlineStr">
        <is>
          <t>APPEND-ONLY. Never delete or overwrite rows. Corrections use Adjustment transactions.</t>
        </is>
      </c>
    </row>
    <row r="3"/>
    <row r="4">
      <c r="A4" s="6" t="inlineStr">
        <is>
          <t>TransactionID</t>
        </is>
      </c>
      <c r="B4" s="6" t="inlineStr">
        <is>
          <t>Timestamp</t>
        </is>
      </c>
      <c r="C4" s="6" t="inlineStr">
        <is>
          <t>Operator</t>
        </is>
      </c>
      <c r="D4" s="6" t="inlineStr">
        <is>
          <t>Barcode</t>
        </is>
      </c>
      <c r="E4" s="6" t="inlineStr">
        <is>
          <t>ContainerID</t>
        </is>
      </c>
      <c r="F4" s="6" t="inlineStr">
        <is>
          <t>ProductID</t>
        </is>
      </c>
      <c r="G4" s="6" t="inlineStr">
        <is>
          <t>ProductName</t>
        </is>
      </c>
      <c r="H4" s="6" t="inlineStr">
        <is>
          <t>TransactionType</t>
        </is>
      </c>
      <c r="I4" s="6" t="inlineStr">
        <is>
          <t>PreviousStatus</t>
        </is>
      </c>
      <c r="J4" s="6" t="inlineStr">
        <is>
          <t>NewStatus</t>
        </is>
      </c>
      <c r="K4" s="6" t="inlineStr">
        <is>
          <t>PreviousLocation</t>
        </is>
      </c>
      <c r="L4" s="6" t="inlineStr">
        <is>
          <t>NewLocation</t>
        </is>
      </c>
      <c r="M4" s="6" t="inlineStr">
        <is>
          <t>BatchLotNumber</t>
        </is>
      </c>
      <c r="N4" s="6" t="inlineStr">
        <is>
          <t>Reason</t>
        </is>
      </c>
      <c r="O4" s="6" t="inlineStr">
        <is>
          <t>Reference</t>
        </is>
      </c>
      <c r="P4" s="6" t="inlineStr">
        <is>
          <t>Notes</t>
        </is>
      </c>
    </row>
    <row r="5">
      <c r="A5" s="19" t="inlineStr">
        <is>
          <t>T00000001</t>
        </is>
      </c>
      <c r="B5" s="22" t="n">
        <v>46032.375</v>
      </c>
      <c r="C5" s="19" t="inlineStr">
        <is>
          <t>LAB-USER</t>
        </is>
      </c>
      <c r="D5" s="19" t="inlineStr">
        <is>
          <t>0000001</t>
        </is>
      </c>
      <c r="E5" s="19" t="inlineStr">
        <is>
          <t>C000001</t>
        </is>
      </c>
      <c r="F5" s="19" t="inlineStr">
        <is>
          <t>P000001</t>
        </is>
      </c>
      <c r="G5" s="19" t="inlineStr">
        <is>
          <t>Pipette Tips 200 uL (96/box)</t>
        </is>
      </c>
      <c r="H5" s="19" t="inlineStr">
        <is>
          <t>Receive</t>
        </is>
      </c>
      <c r="I5" s="19" t="inlineStr">
        <is>
          <t>(none)</t>
        </is>
      </c>
      <c r="J5" s="19" t="inlineStr">
        <is>
          <t>Available</t>
        </is>
      </c>
      <c r="K5" s="19" t="inlineStr">
        <is>
          <t>(none)</t>
        </is>
      </c>
      <c r="L5" s="19" t="inlineStr">
        <is>
          <t>LOC0004</t>
        </is>
      </c>
      <c r="M5" s="19" t="inlineStr">
        <is>
          <t>LOT0001</t>
        </is>
      </c>
      <c r="N5" s="19" t="n"/>
      <c r="O5" s="19" t="inlineStr">
        <is>
          <t>PO-1001</t>
        </is>
      </c>
      <c r="P5" s="19" t="inlineStr">
        <is>
          <t>Tips box 1 received</t>
        </is>
      </c>
    </row>
    <row r="6">
      <c r="A6" s="19" t="inlineStr">
        <is>
          <t>T00000002</t>
        </is>
      </c>
      <c r="B6" s="22" t="n">
        <v>46032.37847222222</v>
      </c>
      <c r="C6" s="19" t="inlineStr">
        <is>
          <t>LAB-USER</t>
        </is>
      </c>
      <c r="D6" s="19" t="inlineStr">
        <is>
          <t>0000002</t>
        </is>
      </c>
      <c r="E6" s="19" t="inlineStr">
        <is>
          <t>C000002</t>
        </is>
      </c>
      <c r="F6" s="19" t="inlineStr">
        <is>
          <t>P000001</t>
        </is>
      </c>
      <c r="G6" s="19" t="inlineStr">
        <is>
          <t>Pipette Tips 200 uL (96/box)</t>
        </is>
      </c>
      <c r="H6" s="19" t="inlineStr">
        <is>
          <t>Receive</t>
        </is>
      </c>
      <c r="I6" s="19" t="inlineStr">
        <is>
          <t>(none)</t>
        </is>
      </c>
      <c r="J6" s="19" t="inlineStr">
        <is>
          <t>Available</t>
        </is>
      </c>
      <c r="K6" s="19" t="inlineStr">
        <is>
          <t>(none)</t>
        </is>
      </c>
      <c r="L6" s="19" t="inlineStr">
        <is>
          <t>LOC0004</t>
        </is>
      </c>
      <c r="M6" s="19" t="inlineStr">
        <is>
          <t>LOT0001</t>
        </is>
      </c>
      <c r="N6" s="19" t="n"/>
      <c r="O6" s="19" t="inlineStr">
        <is>
          <t>PO-1001</t>
        </is>
      </c>
      <c r="P6" s="19" t="inlineStr">
        <is>
          <t>Tips box 2 received</t>
        </is>
      </c>
    </row>
    <row r="7">
      <c r="A7" s="19" t="inlineStr">
        <is>
          <t>T00000003</t>
        </is>
      </c>
      <c r="B7" s="22" t="n">
        <v>46086.41666666666</v>
      </c>
      <c r="C7" s="19" t="inlineStr">
        <is>
          <t>LAB-USER</t>
        </is>
      </c>
      <c r="D7" s="19" t="inlineStr">
        <is>
          <t>0000003</t>
        </is>
      </c>
      <c r="E7" s="19" t="inlineStr">
        <is>
          <t>C000003</t>
        </is>
      </c>
      <c r="F7" s="19" t="inlineStr">
        <is>
          <t>P000001</t>
        </is>
      </c>
      <c r="G7" s="19" t="inlineStr">
        <is>
          <t>Pipette Tips 200 uL (96/box)</t>
        </is>
      </c>
      <c r="H7" s="19" t="inlineStr">
        <is>
          <t>Receive</t>
        </is>
      </c>
      <c r="I7" s="19" t="inlineStr">
        <is>
          <t>(none)</t>
        </is>
      </c>
      <c r="J7" s="19" t="inlineStr">
        <is>
          <t>Available</t>
        </is>
      </c>
      <c r="K7" s="19" t="inlineStr">
        <is>
          <t>(none)</t>
        </is>
      </c>
      <c r="L7" s="19" t="inlineStr">
        <is>
          <t>LOC0004</t>
        </is>
      </c>
      <c r="M7" s="19" t="inlineStr">
        <is>
          <t>LOT0002</t>
        </is>
      </c>
      <c r="N7" s="19" t="n"/>
      <c r="O7" s="19" t="inlineStr">
        <is>
          <t>PO-1002</t>
        </is>
      </c>
      <c r="P7" s="19" t="inlineStr">
        <is>
          <t>Tips box 3 received</t>
        </is>
      </c>
    </row>
    <row r="8">
      <c r="A8" s="19" t="inlineStr">
        <is>
          <t>T00000004</t>
        </is>
      </c>
      <c r="B8" s="22" t="n">
        <v>46087.59722222222</v>
      </c>
      <c r="C8" s="19" t="inlineStr">
        <is>
          <t>LAB-USER</t>
        </is>
      </c>
      <c r="D8" s="19" t="inlineStr">
        <is>
          <t>0000003</t>
        </is>
      </c>
      <c r="E8" s="19" t="inlineStr">
        <is>
          <t>C000003</t>
        </is>
      </c>
      <c r="F8" s="19" t="inlineStr">
        <is>
          <t>P000001</t>
        </is>
      </c>
      <c r="G8" s="19" t="inlineStr">
        <is>
          <t>Pipette Tips 200 uL (96/box)</t>
        </is>
      </c>
      <c r="H8" s="19" t="inlineStr">
        <is>
          <t>TakeOpen</t>
        </is>
      </c>
      <c r="I8" s="19" t="inlineStr">
        <is>
          <t>Available</t>
        </is>
      </c>
      <c r="J8" s="19" t="inlineStr">
        <is>
          <t>InUse</t>
        </is>
      </c>
      <c r="K8" s="19" t="inlineStr">
        <is>
          <t>LOC0004</t>
        </is>
      </c>
      <c r="L8" s="19" t="inlineStr">
        <is>
          <t>(none)</t>
        </is>
      </c>
      <c r="M8" s="19" t="inlineStr">
        <is>
          <t>LOT0002</t>
        </is>
      </c>
      <c r="N8" s="19" t="n"/>
      <c r="O8" s="19" t="n"/>
      <c r="P8" s="19" t="inlineStr">
        <is>
          <t>Tips box 3 opened</t>
        </is>
      </c>
    </row>
    <row r="9">
      <c r="A9" s="19" t="inlineStr">
        <is>
          <t>T00000005</t>
        </is>
      </c>
      <c r="B9" s="22" t="n">
        <v>46088.39583333334</v>
      </c>
      <c r="C9" s="19" t="inlineStr">
        <is>
          <t>LAB-USER</t>
        </is>
      </c>
      <c r="D9" s="19" t="inlineStr">
        <is>
          <t>0000003</t>
        </is>
      </c>
      <c r="E9" s="19" t="inlineStr">
        <is>
          <t>C000003</t>
        </is>
      </c>
      <c r="F9" s="19" t="inlineStr">
        <is>
          <t>P000001</t>
        </is>
      </c>
      <c r="G9" s="19" t="inlineStr">
        <is>
          <t>Pipette Tips 200 uL (96/box)</t>
        </is>
      </c>
      <c r="H9" s="19" t="inlineStr">
        <is>
          <t>Return</t>
        </is>
      </c>
      <c r="I9" s="19" t="inlineStr">
        <is>
          <t>InUse</t>
        </is>
      </c>
      <c r="J9" s="19" t="inlineStr">
        <is>
          <t>Available</t>
        </is>
      </c>
      <c r="K9" s="19" t="inlineStr">
        <is>
          <t>(none)</t>
        </is>
      </c>
      <c r="L9" s="19" t="inlineStr">
        <is>
          <t>LOC0004</t>
        </is>
      </c>
      <c r="M9" s="19" t="inlineStr">
        <is>
          <t>LOT0002</t>
        </is>
      </c>
      <c r="N9" s="19" t="n"/>
      <c r="O9" s="19" t="n"/>
      <c r="P9" s="19" t="inlineStr">
        <is>
          <t>Tips box 3 returned (opened)</t>
        </is>
      </c>
    </row>
    <row r="10">
      <c r="A10" s="19" t="inlineStr">
        <is>
          <t>T00000006</t>
        </is>
      </c>
      <c r="B10" s="22" t="n">
        <v>46073.45833333334</v>
      </c>
      <c r="C10" s="19" t="inlineStr">
        <is>
          <t>LAB-USER</t>
        </is>
      </c>
      <c r="D10" s="19" t="inlineStr">
        <is>
          <t>0000004</t>
        </is>
      </c>
      <c r="E10" s="19" t="inlineStr">
        <is>
          <t>C000004</t>
        </is>
      </c>
      <c r="F10" s="19" t="inlineStr">
        <is>
          <t>P000002</t>
        </is>
      </c>
      <c r="G10" s="19" t="inlineStr">
        <is>
          <t>Laboratory Tubes 15 mL (100/box)</t>
        </is>
      </c>
      <c r="H10" s="19" t="inlineStr">
        <is>
          <t>Receive</t>
        </is>
      </c>
      <c r="I10" s="19" t="inlineStr">
        <is>
          <t>(none)</t>
        </is>
      </c>
      <c r="J10" s="19" t="inlineStr">
        <is>
          <t>Available</t>
        </is>
      </c>
      <c r="K10" s="19" t="inlineStr">
        <is>
          <t>(none)</t>
        </is>
      </c>
      <c r="L10" s="19" t="inlineStr">
        <is>
          <t>LOC0004</t>
        </is>
      </c>
      <c r="M10" s="19" t="inlineStr">
        <is>
          <t>LOT0010</t>
        </is>
      </c>
      <c r="N10" s="19" t="n"/>
      <c r="O10" s="19" t="inlineStr">
        <is>
          <t>PO-1003</t>
        </is>
      </c>
      <c r="P10" s="19" t="inlineStr">
        <is>
          <t>Tubes box 1 received</t>
        </is>
      </c>
    </row>
    <row r="11">
      <c r="A11" s="19" t="inlineStr">
        <is>
          <t>T00000007</t>
        </is>
      </c>
      <c r="B11" s="22" t="n">
        <v>46073.46180555555</v>
      </c>
      <c r="C11" s="19" t="inlineStr">
        <is>
          <t>LAB-USER</t>
        </is>
      </c>
      <c r="D11" s="19" t="inlineStr">
        <is>
          <t>0000005</t>
        </is>
      </c>
      <c r="E11" s="19" t="inlineStr">
        <is>
          <t>C000005</t>
        </is>
      </c>
      <c r="F11" s="19" t="inlineStr">
        <is>
          <t>P000002</t>
        </is>
      </c>
      <c r="G11" s="19" t="inlineStr">
        <is>
          <t>Laboratory Tubes 15 mL (100/box)</t>
        </is>
      </c>
      <c r="H11" s="19" t="inlineStr">
        <is>
          <t>Receive</t>
        </is>
      </c>
      <c r="I11" s="19" t="inlineStr">
        <is>
          <t>(none)</t>
        </is>
      </c>
      <c r="J11" s="19" t="inlineStr">
        <is>
          <t>Available</t>
        </is>
      </c>
      <c r="K11" s="19" t="inlineStr">
        <is>
          <t>(none)</t>
        </is>
      </c>
      <c r="L11" s="19" t="inlineStr">
        <is>
          <t>LOC0004</t>
        </is>
      </c>
      <c r="M11" s="19" t="inlineStr">
        <is>
          <t>LOT0010</t>
        </is>
      </c>
      <c r="N11" s="19" t="n"/>
      <c r="O11" s="19" t="inlineStr">
        <is>
          <t>PO-1003</t>
        </is>
      </c>
      <c r="P11" s="19" t="inlineStr">
        <is>
          <t>Tubes box 2 received</t>
        </is>
      </c>
    </row>
    <row r="12">
      <c r="A12" s="19" t="inlineStr">
        <is>
          <t>T00000008</t>
        </is>
      </c>
      <c r="B12" s="22" t="n">
        <v>46153.54166666666</v>
      </c>
      <c r="C12" s="19" t="inlineStr">
        <is>
          <t>LAB-USER</t>
        </is>
      </c>
      <c r="D12" s="19" t="inlineStr">
        <is>
          <t>0000006</t>
        </is>
      </c>
      <c r="E12" s="19" t="inlineStr">
        <is>
          <t>C000006</t>
        </is>
      </c>
      <c r="F12" s="19" t="inlineStr">
        <is>
          <t>P000002</t>
        </is>
      </c>
      <c r="G12" s="19" t="inlineStr">
        <is>
          <t>Laboratory Tubes 15 mL (100/box)</t>
        </is>
      </c>
      <c r="H12" s="19" t="inlineStr">
        <is>
          <t>Receive</t>
        </is>
      </c>
      <c r="I12" s="19" t="inlineStr">
        <is>
          <t>(none)</t>
        </is>
      </c>
      <c r="J12" s="19" t="inlineStr">
        <is>
          <t>Available</t>
        </is>
      </c>
      <c r="K12" s="19" t="inlineStr">
        <is>
          <t>(none)</t>
        </is>
      </c>
      <c r="L12" s="19" t="inlineStr">
        <is>
          <t>LOC0005</t>
        </is>
      </c>
      <c r="M12" s="19" t="inlineStr">
        <is>
          <t>LOT0011</t>
        </is>
      </c>
      <c r="N12" s="19" t="n"/>
      <c r="O12" s="19" t="inlineStr">
        <is>
          <t>PO-1004</t>
        </is>
      </c>
      <c r="P12" s="19" t="inlineStr">
        <is>
          <t>Tubes box 3 received</t>
        </is>
      </c>
    </row>
    <row r="13">
      <c r="A13" s="19" t="inlineStr">
        <is>
          <t>T00000009</t>
        </is>
      </c>
      <c r="B13" s="22" t="n">
        <v>46154.36458333334</v>
      </c>
      <c r="C13" s="19" t="inlineStr">
        <is>
          <t>LAB-USER</t>
        </is>
      </c>
      <c r="D13" s="19" t="inlineStr">
        <is>
          <t>0000006</t>
        </is>
      </c>
      <c r="E13" s="19" t="inlineStr">
        <is>
          <t>C000006</t>
        </is>
      </c>
      <c r="F13" s="19" t="inlineStr">
        <is>
          <t>P000002</t>
        </is>
      </c>
      <c r="G13" s="19" t="inlineStr">
        <is>
          <t>Laboratory Tubes 15 mL (100/box)</t>
        </is>
      </c>
      <c r="H13" s="19" t="inlineStr">
        <is>
          <t>TakeOpen</t>
        </is>
      </c>
      <c r="I13" s="19" t="inlineStr">
        <is>
          <t>Available</t>
        </is>
      </c>
      <c r="J13" s="19" t="inlineStr">
        <is>
          <t>InUse</t>
        </is>
      </c>
      <c r="K13" s="19" t="inlineStr">
        <is>
          <t>LOC0005</t>
        </is>
      </c>
      <c r="L13" s="19" t="inlineStr">
        <is>
          <t>(none)</t>
        </is>
      </c>
      <c r="M13" s="19" t="inlineStr">
        <is>
          <t>LOT0011</t>
        </is>
      </c>
      <c r="N13" s="19" t="n"/>
      <c r="O13" s="19" t="n"/>
      <c r="P13" s="19" t="inlineStr">
        <is>
          <t>Tubes box 3 in use</t>
        </is>
      </c>
    </row>
    <row r="14">
      <c r="A14" s="19" t="inlineStr">
        <is>
          <t>T00000010</t>
        </is>
      </c>
      <c r="B14" s="22" t="n">
        <v>45962.4375</v>
      </c>
      <c r="C14" s="19" t="inlineStr">
        <is>
          <t>LAB-USER</t>
        </is>
      </c>
      <c r="D14" s="19" t="inlineStr">
        <is>
          <t>0000007</t>
        </is>
      </c>
      <c r="E14" s="19" t="inlineStr">
        <is>
          <t>C000007</t>
        </is>
      </c>
      <c r="F14" s="19" t="inlineStr">
        <is>
          <t>P000003</t>
        </is>
      </c>
      <c r="G14" s="19" t="inlineStr">
        <is>
          <t>Ethanol 96% (500 mL)</t>
        </is>
      </c>
      <c r="H14" s="19" t="inlineStr">
        <is>
          <t>Receive</t>
        </is>
      </c>
      <c r="I14" s="19" t="inlineStr">
        <is>
          <t>(none)</t>
        </is>
      </c>
      <c r="J14" s="19" t="inlineStr">
        <is>
          <t>Available</t>
        </is>
      </c>
      <c r="K14" s="19" t="inlineStr">
        <is>
          <t>(none)</t>
        </is>
      </c>
      <c r="L14" s="19" t="inlineStr">
        <is>
          <t>LOC0001</t>
        </is>
      </c>
      <c r="M14" s="19" t="inlineStr">
        <is>
          <t>LOT0020</t>
        </is>
      </c>
      <c r="N14" s="19" t="n"/>
      <c r="O14" s="19" t="inlineStr">
        <is>
          <t>PO-1005</t>
        </is>
      </c>
      <c r="P14" s="19" t="inlineStr">
        <is>
          <t>Ethanol A received</t>
        </is>
      </c>
    </row>
    <row r="15">
      <c r="A15" s="19" t="inlineStr">
        <is>
          <t>T00000011</t>
        </is>
      </c>
      <c r="B15" s="22" t="n">
        <v>45962.43888888889</v>
      </c>
      <c r="C15" s="19" t="inlineStr">
        <is>
          <t>LAB-USER</t>
        </is>
      </c>
      <c r="D15" s="19" t="inlineStr">
        <is>
          <t>0000008</t>
        </is>
      </c>
      <c r="E15" s="19" t="inlineStr">
        <is>
          <t>C000008</t>
        </is>
      </c>
      <c r="F15" s="19" t="inlineStr">
        <is>
          <t>P000003</t>
        </is>
      </c>
      <c r="G15" s="19" t="inlineStr">
        <is>
          <t>Ethanol 96% (500 mL)</t>
        </is>
      </c>
      <c r="H15" s="19" t="inlineStr">
        <is>
          <t>Receive</t>
        </is>
      </c>
      <c r="I15" s="19" t="inlineStr">
        <is>
          <t>(none)</t>
        </is>
      </c>
      <c r="J15" s="19" t="inlineStr">
        <is>
          <t>Available</t>
        </is>
      </c>
      <c r="K15" s="19" t="inlineStr">
        <is>
          <t>(none)</t>
        </is>
      </c>
      <c r="L15" s="19" t="inlineStr">
        <is>
          <t>LOC0001</t>
        </is>
      </c>
      <c r="M15" s="19" t="inlineStr">
        <is>
          <t>LOT0020</t>
        </is>
      </c>
      <c r="N15" s="19" t="n"/>
      <c r="O15" s="19" t="inlineStr">
        <is>
          <t>PO-1005</t>
        </is>
      </c>
      <c r="P15" s="19" t="inlineStr">
        <is>
          <t>Ethanol B received</t>
        </is>
      </c>
    </row>
    <row r="16">
      <c r="A16" s="19" t="inlineStr">
        <is>
          <t>T00000012</t>
        </is>
      </c>
      <c r="B16" s="22" t="n">
        <v>46193.38541666666</v>
      </c>
      <c r="C16" s="19" t="inlineStr">
        <is>
          <t>LAB-USER</t>
        </is>
      </c>
      <c r="D16" s="19" t="inlineStr">
        <is>
          <t>0000009</t>
        </is>
      </c>
      <c r="E16" s="19" t="inlineStr">
        <is>
          <t>C000009</t>
        </is>
      </c>
      <c r="F16" s="19" t="inlineStr">
        <is>
          <t>P000003</t>
        </is>
      </c>
      <c r="G16" s="19" t="inlineStr">
        <is>
          <t>Ethanol 96% (500 mL)</t>
        </is>
      </c>
      <c r="H16" s="19" t="inlineStr">
        <is>
          <t>Receive</t>
        </is>
      </c>
      <c r="I16" s="19" t="inlineStr">
        <is>
          <t>(none)</t>
        </is>
      </c>
      <c r="J16" s="19" t="inlineStr">
        <is>
          <t>Available</t>
        </is>
      </c>
      <c r="K16" s="19" t="inlineStr">
        <is>
          <t>(none)</t>
        </is>
      </c>
      <c r="L16" s="19" t="inlineStr">
        <is>
          <t>LOC0001</t>
        </is>
      </c>
      <c r="M16" s="19" t="inlineStr">
        <is>
          <t>LOT0021</t>
        </is>
      </c>
      <c r="N16" s="19" t="n"/>
      <c r="O16" s="19" t="inlineStr">
        <is>
          <t>PO-1006</t>
        </is>
      </c>
      <c r="P16" s="19" t="inlineStr">
        <is>
          <t>Ethanol C received</t>
        </is>
      </c>
    </row>
    <row r="17">
      <c r="A17" s="19" t="inlineStr">
        <is>
          <t>T00000013</t>
        </is>
      </c>
      <c r="B17" s="22" t="n">
        <v>46204.63194444445</v>
      </c>
      <c r="C17" s="19" t="inlineStr">
        <is>
          <t>LAB-USER</t>
        </is>
      </c>
      <c r="D17" s="19" t="inlineStr">
        <is>
          <t>0000009</t>
        </is>
      </c>
      <c r="E17" s="19" t="inlineStr">
        <is>
          <t>C000009</t>
        </is>
      </c>
      <c r="F17" s="19" t="inlineStr">
        <is>
          <t>P000003</t>
        </is>
      </c>
      <c r="G17" s="19" t="inlineStr">
        <is>
          <t>Ethanol 96% (500 mL)</t>
        </is>
      </c>
      <c r="H17" s="19" t="inlineStr">
        <is>
          <t>TakeOpen</t>
        </is>
      </c>
      <c r="I17" s="19" t="inlineStr">
        <is>
          <t>Available</t>
        </is>
      </c>
      <c r="J17" s="19" t="inlineStr">
        <is>
          <t>InUse</t>
        </is>
      </c>
      <c r="K17" s="19" t="inlineStr">
        <is>
          <t>LOC0001</t>
        </is>
      </c>
      <c r="L17" s="19" t="inlineStr">
        <is>
          <t>(none)</t>
        </is>
      </c>
      <c r="M17" s="19" t="inlineStr">
        <is>
          <t>LOT0021</t>
        </is>
      </c>
      <c r="N17" s="19" t="n"/>
      <c r="O17" s="19" t="n"/>
      <c r="P17" s="19" t="inlineStr">
        <is>
          <t>Ethanol C opened</t>
        </is>
      </c>
    </row>
    <row r="18">
      <c r="A18" s="19" t="inlineStr">
        <is>
          <t>T00000014</t>
        </is>
      </c>
      <c r="B18" s="22" t="n">
        <v>46205.41666666666</v>
      </c>
      <c r="C18" s="19" t="inlineStr">
        <is>
          <t>LAB-USER</t>
        </is>
      </c>
      <c r="D18" s="19" t="inlineStr">
        <is>
          <t>0000009</t>
        </is>
      </c>
      <c r="E18" s="19" t="inlineStr">
        <is>
          <t>C000009</t>
        </is>
      </c>
      <c r="F18" s="19" t="inlineStr">
        <is>
          <t>P000003</t>
        </is>
      </c>
      <c r="G18" s="19" t="inlineStr">
        <is>
          <t>Ethanol 96% (500 mL)</t>
        </is>
      </c>
      <c r="H18" s="19" t="inlineStr">
        <is>
          <t>Return</t>
        </is>
      </c>
      <c r="I18" s="19" t="inlineStr">
        <is>
          <t>InUse</t>
        </is>
      </c>
      <c r="J18" s="19" t="inlineStr">
        <is>
          <t>Available</t>
        </is>
      </c>
      <c r="K18" s="19" t="inlineStr">
        <is>
          <t>(none)</t>
        </is>
      </c>
      <c r="L18" s="19" t="inlineStr">
        <is>
          <t>LOC0001</t>
        </is>
      </c>
      <c r="M18" s="19" t="inlineStr">
        <is>
          <t>LOT0021</t>
        </is>
      </c>
      <c r="N18" s="19" t="n"/>
      <c r="O18" s="19" t="n"/>
      <c r="P18" s="19" t="inlineStr">
        <is>
          <t>Ethanol C returned (opened)</t>
        </is>
      </c>
    </row>
    <row r="19">
      <c r="A19" s="19" t="inlineStr">
        <is>
          <t>T00000015</t>
        </is>
      </c>
      <c r="B19" s="22" t="n">
        <v>46130.58333333334</v>
      </c>
      <c r="C19" s="19" t="inlineStr">
        <is>
          <t>LAB-USER</t>
        </is>
      </c>
      <c r="D19" s="19" t="inlineStr">
        <is>
          <t>0000010</t>
        </is>
      </c>
      <c r="E19" s="19" t="inlineStr">
        <is>
          <t>C000010</t>
        </is>
      </c>
      <c r="F19" s="19" t="inlineStr">
        <is>
          <t>P000004</t>
        </is>
      </c>
      <c r="G19" s="19" t="inlineStr">
        <is>
          <t>Methanol 99.8% (1 L)</t>
        </is>
      </c>
      <c r="H19" s="19" t="inlineStr">
        <is>
          <t>Receive</t>
        </is>
      </c>
      <c r="I19" s="19" t="inlineStr">
        <is>
          <t>(none)</t>
        </is>
      </c>
      <c r="J19" s="19" t="inlineStr">
        <is>
          <t>Available</t>
        </is>
      </c>
      <c r="K19" s="19" t="inlineStr">
        <is>
          <t>(none)</t>
        </is>
      </c>
      <c r="L19" s="19" t="inlineStr">
        <is>
          <t>LOC0001</t>
        </is>
      </c>
      <c r="M19" s="19" t="inlineStr">
        <is>
          <t>LOT0030</t>
        </is>
      </c>
      <c r="N19" s="19" t="n"/>
      <c r="O19" s="19" t="inlineStr">
        <is>
          <t>PO-1007</t>
        </is>
      </c>
      <c r="P19" s="19" t="inlineStr">
        <is>
          <t>Methanol A received</t>
        </is>
      </c>
    </row>
    <row r="20">
      <c r="A20" s="19" t="inlineStr">
        <is>
          <t>T00000016</t>
        </is>
      </c>
      <c r="B20" s="22" t="n">
        <v>46130.58680555555</v>
      </c>
      <c r="C20" s="19" t="inlineStr">
        <is>
          <t>LAB-USER</t>
        </is>
      </c>
      <c r="D20" s="19" t="inlineStr">
        <is>
          <t>0000011</t>
        </is>
      </c>
      <c r="E20" s="19" t="inlineStr">
        <is>
          <t>C000011</t>
        </is>
      </c>
      <c r="F20" s="19" t="inlineStr">
        <is>
          <t>P000004</t>
        </is>
      </c>
      <c r="G20" s="19" t="inlineStr">
        <is>
          <t>Methanol 99.8% (1 L)</t>
        </is>
      </c>
      <c r="H20" s="19" t="inlineStr">
        <is>
          <t>Receive</t>
        </is>
      </c>
      <c r="I20" s="19" t="inlineStr">
        <is>
          <t>(none)</t>
        </is>
      </c>
      <c r="J20" s="19" t="inlineStr">
        <is>
          <t>Available</t>
        </is>
      </c>
      <c r="K20" s="19" t="inlineStr">
        <is>
          <t>(none)</t>
        </is>
      </c>
      <c r="L20" s="19" t="inlineStr">
        <is>
          <t>LOC0002</t>
        </is>
      </c>
      <c r="M20" s="19" t="inlineStr">
        <is>
          <t>LOT0030</t>
        </is>
      </c>
      <c r="N20" s="19" t="n"/>
      <c r="O20" s="19" t="inlineStr">
        <is>
          <t>PO-1007</t>
        </is>
      </c>
      <c r="P20" s="19" t="inlineStr">
        <is>
          <t>Methanol B received</t>
        </is>
      </c>
    </row>
    <row r="21">
      <c r="A21" s="19" t="inlineStr">
        <is>
          <t>T00000017</t>
        </is>
      </c>
      <c r="B21" s="22" t="n">
        <v>46183.47916666666</v>
      </c>
      <c r="C21" s="19" t="inlineStr">
        <is>
          <t>LAB-USER</t>
        </is>
      </c>
      <c r="D21" s="19" t="inlineStr">
        <is>
          <t>0000011</t>
        </is>
      </c>
      <c r="E21" s="19" t="inlineStr">
        <is>
          <t>C000011</t>
        </is>
      </c>
      <c r="F21" s="19" t="inlineStr">
        <is>
          <t>P000004</t>
        </is>
      </c>
      <c r="G21" s="19" t="inlineStr">
        <is>
          <t>Methanol 99.8% (1 L)</t>
        </is>
      </c>
      <c r="H21" s="19" t="inlineStr">
        <is>
          <t>TakeOpen</t>
        </is>
      </c>
      <c r="I21" s="19" t="inlineStr">
        <is>
          <t>Available</t>
        </is>
      </c>
      <c r="J21" s="19" t="inlineStr">
        <is>
          <t>InUse</t>
        </is>
      </c>
      <c r="K21" s="19" t="inlineStr">
        <is>
          <t>LOC0002</t>
        </is>
      </c>
      <c r="L21" s="19" t="inlineStr">
        <is>
          <t>(none)</t>
        </is>
      </c>
      <c r="M21" s="19" t="inlineStr">
        <is>
          <t>LOT0030</t>
        </is>
      </c>
      <c r="N21" s="19" t="n"/>
      <c r="O21" s="19" t="n"/>
      <c r="P21" s="19" t="inlineStr">
        <is>
          <t>Methanol B in use</t>
        </is>
      </c>
    </row>
    <row r="22">
      <c r="A22" s="19" t="inlineStr">
        <is>
          <t>T00000018</t>
        </is>
      </c>
      <c r="B22" s="22" t="n">
        <v>46143.375</v>
      </c>
      <c r="C22" s="19" t="inlineStr">
        <is>
          <t>LAB-USER</t>
        </is>
      </c>
      <c r="D22" s="19" t="inlineStr">
        <is>
          <t>0000012</t>
        </is>
      </c>
      <c r="E22" s="19" t="inlineStr">
        <is>
          <t>C000012</t>
        </is>
      </c>
      <c r="F22" s="19" t="inlineStr">
        <is>
          <t>P000005</t>
        </is>
      </c>
      <c r="G22" s="19" t="inlineStr">
        <is>
          <t>Reagent A (Tris buffer, 500 mL)</t>
        </is>
      </c>
      <c r="H22" s="19" t="inlineStr">
        <is>
          <t>Receive</t>
        </is>
      </c>
      <c r="I22" s="19" t="inlineStr">
        <is>
          <t>(none)</t>
        </is>
      </c>
      <c r="J22" s="19" t="inlineStr">
        <is>
          <t>Available</t>
        </is>
      </c>
      <c r="K22" s="19" t="inlineStr">
        <is>
          <t>(none)</t>
        </is>
      </c>
      <c r="L22" s="19" t="inlineStr">
        <is>
          <t>LOC0003</t>
        </is>
      </c>
      <c r="M22" s="19" t="inlineStr">
        <is>
          <t>LOT0040</t>
        </is>
      </c>
      <c r="N22" s="19" t="n"/>
      <c r="O22" s="19" t="inlineStr">
        <is>
          <t>PO-1008</t>
        </is>
      </c>
      <c r="P22" s="19" t="inlineStr">
        <is>
          <t>Tris reagent received</t>
        </is>
      </c>
    </row>
    <row r="23">
      <c r="A23" s="19" t="inlineStr">
        <is>
          <t>T00000019</t>
        </is>
      </c>
      <c r="B23" s="22" t="n">
        <v>46157.39583333334</v>
      </c>
      <c r="C23" s="19" t="inlineStr">
        <is>
          <t>LAB-USER</t>
        </is>
      </c>
      <c r="D23" s="19" t="inlineStr">
        <is>
          <t>0000013</t>
        </is>
      </c>
      <c r="E23" s="19" t="inlineStr">
        <is>
          <t>C000013</t>
        </is>
      </c>
      <c r="F23" s="19" t="inlineStr">
        <is>
          <t>P000005</t>
        </is>
      </c>
      <c r="G23" s="19" t="inlineStr">
        <is>
          <t>Reagent A (Tris buffer, 500 mL)</t>
        </is>
      </c>
      <c r="H23" s="19" t="inlineStr">
        <is>
          <t>Receive</t>
        </is>
      </c>
      <c r="I23" s="19" t="inlineStr">
        <is>
          <t>(none)</t>
        </is>
      </c>
      <c r="J23" s="19" t="inlineStr">
        <is>
          <t>Available</t>
        </is>
      </c>
      <c r="K23" s="19" t="inlineStr">
        <is>
          <t>(none)</t>
        </is>
      </c>
      <c r="L23" s="19" t="inlineStr">
        <is>
          <t>LOC0003</t>
        </is>
      </c>
      <c r="M23" s="19" t="inlineStr">
        <is>
          <t>LOT0041</t>
        </is>
      </c>
      <c r="N23" s="19" t="n"/>
      <c r="O23" s="19" t="inlineStr">
        <is>
          <t>PO-1009</t>
        </is>
      </c>
      <c r="P23" s="19" t="inlineStr">
        <is>
          <t>Tris reagent 2 received</t>
        </is>
      </c>
    </row>
    <row r="24">
      <c r="A24" s="19" t="inlineStr">
        <is>
          <t>T00000020</t>
        </is>
      </c>
      <c r="B24" s="22" t="n">
        <v>46042.41666666666</v>
      </c>
      <c r="C24" s="19" t="inlineStr">
        <is>
          <t>LAB-USER</t>
        </is>
      </c>
      <c r="D24" s="19" t="inlineStr">
        <is>
          <t>0000014</t>
        </is>
      </c>
      <c r="E24" s="19" t="inlineStr">
        <is>
          <t>C000014</t>
        </is>
      </c>
      <c r="F24" s="19" t="inlineStr">
        <is>
          <t>P000005</t>
        </is>
      </c>
      <c r="G24" s="19" t="inlineStr">
        <is>
          <t>Reagent A (Tris buffer, 500 mL)</t>
        </is>
      </c>
      <c r="H24" s="19" t="inlineStr">
        <is>
          <t>Receive</t>
        </is>
      </c>
      <c r="I24" s="19" t="inlineStr">
        <is>
          <t>(none)</t>
        </is>
      </c>
      <c r="J24" s="19" t="inlineStr">
        <is>
          <t>Available</t>
        </is>
      </c>
      <c r="K24" s="19" t="inlineStr">
        <is>
          <t>(none)</t>
        </is>
      </c>
      <c r="L24" s="19" t="inlineStr">
        <is>
          <t>LOC0003</t>
        </is>
      </c>
      <c r="M24" s="19" t="inlineStr">
        <is>
          <t>LOT0042</t>
        </is>
      </c>
      <c r="N24" s="19" t="n"/>
      <c r="O24" s="19" t="inlineStr">
        <is>
          <t>PO-1010</t>
        </is>
      </c>
      <c r="P24" s="19" t="inlineStr">
        <is>
          <t>Tris reagent 3 received</t>
        </is>
      </c>
    </row>
    <row r="25">
      <c r="A25" s="19" t="inlineStr">
        <is>
          <t>T00000021</t>
        </is>
      </c>
      <c r="B25" s="22" t="n">
        <v>46205.33333333334</v>
      </c>
      <c r="C25" s="19" t="inlineStr">
        <is>
          <t>LAB-USER</t>
        </is>
      </c>
      <c r="D25" s="19" t="inlineStr">
        <is>
          <t>0000014</t>
        </is>
      </c>
      <c r="E25" s="19" t="inlineStr">
        <is>
          <t>C000014</t>
        </is>
      </c>
      <c r="F25" s="19" t="inlineStr">
        <is>
          <t>P000005</t>
        </is>
      </c>
      <c r="G25" s="19" t="inlineStr">
        <is>
          <t>Reagent A (Tris buffer, 500 mL)</t>
        </is>
      </c>
      <c r="H25" s="19" t="inlineStr">
        <is>
          <t>MarkExpired</t>
        </is>
      </c>
      <c r="I25" s="19" t="inlineStr">
        <is>
          <t>Available</t>
        </is>
      </c>
      <c r="J25" s="19" t="inlineStr">
        <is>
          <t>Expired</t>
        </is>
      </c>
      <c r="K25" s="19" t="inlineStr">
        <is>
          <t>LOC0003</t>
        </is>
      </c>
      <c r="L25" s="19" t="inlineStr">
        <is>
          <t>LOC0003</t>
        </is>
      </c>
      <c r="M25" s="19" t="inlineStr">
        <is>
          <t>LOT0042</t>
        </is>
      </c>
      <c r="N25" s="19" t="inlineStr">
        <is>
          <t>Expired</t>
        </is>
      </c>
      <c r="O25" s="19" t="n"/>
      <c r="P25" s="19" t="inlineStr">
        <is>
          <t>Tris reagent 3 expired</t>
        </is>
      </c>
    </row>
    <row r="26">
      <c r="A26" s="19" t="inlineStr">
        <is>
          <t>T00000022</t>
        </is>
      </c>
      <c r="B26" s="22" t="n">
        <v>46113.5</v>
      </c>
      <c r="C26" s="19" t="inlineStr">
        <is>
          <t>LAB-USER</t>
        </is>
      </c>
      <c r="D26" s="19" t="inlineStr">
        <is>
          <t>0000015</t>
        </is>
      </c>
      <c r="E26" s="19" t="inlineStr">
        <is>
          <t>C000015</t>
        </is>
      </c>
      <c r="F26" s="19" t="inlineStr">
        <is>
          <t>P000006</t>
        </is>
      </c>
      <c r="G26" s="19" t="inlineStr">
        <is>
          <t>Nitrile Gloves M (100/box)</t>
        </is>
      </c>
      <c r="H26" s="19" t="inlineStr">
        <is>
          <t>Receive</t>
        </is>
      </c>
      <c r="I26" s="19" t="inlineStr">
        <is>
          <t>(none)</t>
        </is>
      </c>
      <c r="J26" s="19" t="inlineStr">
        <is>
          <t>Available</t>
        </is>
      </c>
      <c r="K26" s="19" t="inlineStr">
        <is>
          <t>(none)</t>
        </is>
      </c>
      <c r="L26" s="19" t="inlineStr">
        <is>
          <t>LOC0004</t>
        </is>
      </c>
      <c r="M26" s="19" t="inlineStr">
        <is>
          <t>LOT0050</t>
        </is>
      </c>
      <c r="N26" s="19" t="n"/>
      <c r="O26" s="19" t="inlineStr">
        <is>
          <t>PO-1011</t>
        </is>
      </c>
      <c r="P26" s="19" t="inlineStr">
        <is>
          <t>Gloves box 1 received</t>
        </is>
      </c>
    </row>
    <row r="27">
      <c r="A27" s="19" t="inlineStr">
        <is>
          <t>T00000023</t>
        </is>
      </c>
      <c r="B27" s="22" t="n">
        <v>46113.50138888889</v>
      </c>
      <c r="C27" s="19" t="inlineStr">
        <is>
          <t>LAB-USER</t>
        </is>
      </c>
      <c r="D27" s="19" t="inlineStr">
        <is>
          <t>0000016</t>
        </is>
      </c>
      <c r="E27" s="19" t="inlineStr">
        <is>
          <t>C000016</t>
        </is>
      </c>
      <c r="F27" s="19" t="inlineStr">
        <is>
          <t>P000006</t>
        </is>
      </c>
      <c r="G27" s="19" t="inlineStr">
        <is>
          <t>Nitrile Gloves M (100/box)</t>
        </is>
      </c>
      <c r="H27" s="19" t="inlineStr">
        <is>
          <t>Receive</t>
        </is>
      </c>
      <c r="I27" s="19" t="inlineStr">
        <is>
          <t>(none)</t>
        </is>
      </c>
      <c r="J27" s="19" t="inlineStr">
        <is>
          <t>Available</t>
        </is>
      </c>
      <c r="K27" s="19" t="inlineStr">
        <is>
          <t>(none)</t>
        </is>
      </c>
      <c r="L27" s="19" t="inlineStr">
        <is>
          <t>LOC0004</t>
        </is>
      </c>
      <c r="M27" s="19" t="inlineStr">
        <is>
          <t>LOT0050</t>
        </is>
      </c>
      <c r="N27" s="19" t="n"/>
      <c r="O27" s="19" t="inlineStr">
        <is>
          <t>PO-1011</t>
        </is>
      </c>
      <c r="P27" s="19" t="inlineStr">
        <is>
          <t>Gloves box 2 received</t>
        </is>
      </c>
    </row>
    <row r="28">
      <c r="A28" s="19" t="inlineStr">
        <is>
          <t>T00000024</t>
        </is>
      </c>
      <c r="B28" s="22" t="n">
        <v>46213.66666666666</v>
      </c>
      <c r="C28" s="19" t="inlineStr">
        <is>
          <t>LAB-USER</t>
        </is>
      </c>
      <c r="D28" s="19" t="inlineStr">
        <is>
          <t>0000017</t>
        </is>
      </c>
      <c r="E28" s="19" t="inlineStr">
        <is>
          <t>C000017</t>
        </is>
      </c>
      <c r="F28" s="19" t="inlineStr">
        <is>
          <t>P000006</t>
        </is>
      </c>
      <c r="G28" s="19" t="inlineStr">
        <is>
          <t>Nitrile Gloves M (100/box)</t>
        </is>
      </c>
      <c r="H28" s="19" t="inlineStr">
        <is>
          <t>Receive</t>
        </is>
      </c>
      <c r="I28" s="19" t="inlineStr">
        <is>
          <t>(none)</t>
        </is>
      </c>
      <c r="J28" s="19" t="inlineStr">
        <is>
          <t>Available</t>
        </is>
      </c>
      <c r="K28" s="19" t="inlineStr">
        <is>
          <t>(none)</t>
        </is>
      </c>
      <c r="L28" s="19" t="inlineStr">
        <is>
          <t>LOC0004</t>
        </is>
      </c>
      <c r="M28" s="19" t="inlineStr">
        <is>
          <t>LOT0051</t>
        </is>
      </c>
      <c r="N28" s="19" t="n"/>
      <c r="O28" s="19" t="inlineStr">
        <is>
          <t>PO-1012</t>
        </is>
      </c>
      <c r="P28" s="19" t="inlineStr">
        <is>
          <t>Gloves box 3 received</t>
        </is>
      </c>
    </row>
    <row r="29">
      <c r="A29" s="19" t="inlineStr">
        <is>
          <t>T00000025</t>
        </is>
      </c>
      <c r="B29" s="22" t="n">
        <v>46214.38888888889</v>
      </c>
      <c r="C29" s="19" t="inlineStr">
        <is>
          <t>LAB-USER</t>
        </is>
      </c>
      <c r="D29" s="19" t="inlineStr">
        <is>
          <t>0000017</t>
        </is>
      </c>
      <c r="E29" s="19" t="inlineStr">
        <is>
          <t>C000017</t>
        </is>
      </c>
      <c r="F29" s="19" t="inlineStr">
        <is>
          <t>P000006</t>
        </is>
      </c>
      <c r="G29" s="19" t="inlineStr">
        <is>
          <t>Nitrile Gloves M (100/box)</t>
        </is>
      </c>
      <c r="H29" s="19" t="inlineStr">
        <is>
          <t>Dispose</t>
        </is>
      </c>
      <c r="I29" s="19" t="inlineStr">
        <is>
          <t>Available</t>
        </is>
      </c>
      <c r="J29" s="19" t="inlineStr">
        <is>
          <t>Disposed</t>
        </is>
      </c>
      <c r="K29" s="19" t="inlineStr">
        <is>
          <t>LOC0004</t>
        </is>
      </c>
      <c r="L29" s="19" t="inlineStr">
        <is>
          <t>(none)</t>
        </is>
      </c>
      <c r="M29" s="19" t="inlineStr">
        <is>
          <t>LOT0051</t>
        </is>
      </c>
      <c r="N29" s="19" t="inlineStr">
        <is>
          <t>Used Up</t>
        </is>
      </c>
      <c r="O29" s="19" t="n"/>
      <c r="P29" s="19" t="inlineStr">
        <is>
          <t>Gloves box 3 used up</t>
        </is>
      </c>
    </row>
    <row r="30">
      <c r="A30" s="19" t="inlineStr">
        <is>
          <t>T00000026</t>
        </is>
      </c>
      <c r="B30" s="22" t="n">
        <v>46244.42361111111</v>
      </c>
      <c r="C30" s="19" t="inlineStr">
        <is>
          <t>LAB-USER</t>
        </is>
      </c>
      <c r="D30" s="19" t="inlineStr">
        <is>
          <t>0000018</t>
        </is>
      </c>
      <c r="E30" s="19" t="inlineStr">
        <is>
          <t>C000018</t>
        </is>
      </c>
      <c r="F30" s="19" t="inlineStr">
        <is>
          <t>P000003</t>
        </is>
      </c>
      <c r="G30" s="19" t="inlineStr">
        <is>
          <t>Ethanol 96% (500 mL)</t>
        </is>
      </c>
      <c r="H30" s="19" t="inlineStr">
        <is>
          <t>Receive</t>
        </is>
      </c>
      <c r="I30" s="19" t="inlineStr">
        <is>
          <t>(none)</t>
        </is>
      </c>
      <c r="J30" s="19" t="inlineStr">
        <is>
          <t>Available</t>
        </is>
      </c>
      <c r="K30" s="19" t="inlineStr">
        <is>
          <t>(none)</t>
        </is>
      </c>
      <c r="L30" s="19" t="inlineStr">
        <is>
          <t>LOC0001</t>
        </is>
      </c>
      <c r="M30" s="19" t="inlineStr">
        <is>
          <t>LOT0022</t>
        </is>
      </c>
      <c r="N30" s="19" t="n"/>
      <c r="O30" s="19" t="inlineStr">
        <is>
          <t>PO-1013</t>
        </is>
      </c>
      <c r="P30" s="19" t="inlineStr">
        <is>
          <t>Ethanol D received</t>
        </is>
      </c>
    </row>
    <row r="31">
      <c r="A31" s="19" t="inlineStr">
        <is>
          <t>T00000027</t>
        </is>
      </c>
      <c r="B31" s="22" t="n">
        <v>46246.45833333334</v>
      </c>
      <c r="C31" s="19" t="inlineStr">
        <is>
          <t>LAB-USER</t>
        </is>
      </c>
      <c r="D31" s="19" t="inlineStr">
        <is>
          <t>0000019</t>
        </is>
      </c>
      <c r="E31" s="19" t="inlineStr">
        <is>
          <t>C000019</t>
        </is>
      </c>
      <c r="F31" s="19" t="inlineStr">
        <is>
          <t>P000002</t>
        </is>
      </c>
      <c r="G31" s="19" t="inlineStr">
        <is>
          <t>Laboratory Tubes 15 mL (100/box)</t>
        </is>
      </c>
      <c r="H31" s="19" t="inlineStr">
        <is>
          <t>Receive</t>
        </is>
      </c>
      <c r="I31" s="19" t="inlineStr">
        <is>
          <t>(none)</t>
        </is>
      </c>
      <c r="J31" s="19" t="inlineStr">
        <is>
          <t>Available</t>
        </is>
      </c>
      <c r="K31" s="19" t="inlineStr">
        <is>
          <t>(none)</t>
        </is>
      </c>
      <c r="L31" s="19" t="inlineStr">
        <is>
          <t>LOC0004</t>
        </is>
      </c>
      <c r="M31" s="19" t="inlineStr">
        <is>
          <t>LOT0012</t>
        </is>
      </c>
      <c r="N31" s="19" t="n"/>
      <c r="O31" s="19" t="inlineStr">
        <is>
          <t>PO-1014</t>
        </is>
      </c>
      <c r="P31" s="19" t="inlineStr">
        <is>
          <t>Tubes box 4 received</t>
        </is>
      </c>
    </row>
    <row r="32">
      <c r="A32" s="19" t="inlineStr">
        <is>
          <t>T00000028</t>
        </is>
      </c>
      <c r="B32" s="22" t="n">
        <v>46247.57291666666</v>
      </c>
      <c r="C32" s="19" t="inlineStr">
        <is>
          <t>LAB-USER</t>
        </is>
      </c>
      <c r="D32" s="19" t="inlineStr">
        <is>
          <t>0000019</t>
        </is>
      </c>
      <c r="E32" s="19" t="inlineStr">
        <is>
          <t>C000019</t>
        </is>
      </c>
      <c r="F32" s="19" t="inlineStr">
        <is>
          <t>P000002</t>
        </is>
      </c>
      <c r="G32" s="19" t="inlineStr">
        <is>
          <t>Laboratory Tubes 15 mL (100/box)</t>
        </is>
      </c>
      <c r="H32" s="19" t="inlineStr">
        <is>
          <t>Transfer</t>
        </is>
      </c>
      <c r="I32" s="19" t="inlineStr">
        <is>
          <t>Available</t>
        </is>
      </c>
      <c r="J32" s="19" t="inlineStr">
        <is>
          <t>Available</t>
        </is>
      </c>
      <c r="K32" s="19" t="inlineStr">
        <is>
          <t>LOC0004</t>
        </is>
      </c>
      <c r="L32" s="19" t="inlineStr">
        <is>
          <t>LOC0005</t>
        </is>
      </c>
      <c r="M32" s="19" t="inlineStr">
        <is>
          <t>LOT0012</t>
        </is>
      </c>
      <c r="N32" s="19" t="n"/>
      <c r="O32" s="19" t="n"/>
      <c r="P32" s="19" t="inlineStr">
        <is>
          <t>Tubes box 4 transferred</t>
        </is>
      </c>
    </row>
    <row r="33">
      <c r="A33" s="19" t="inlineStr">
        <is>
          <t>T00000029</t>
        </is>
      </c>
      <c r="B33" s="22" t="n">
        <v>46218.375</v>
      </c>
      <c r="C33" s="19" t="inlineStr">
        <is>
          <t>LAB-USER</t>
        </is>
      </c>
      <c r="D33" s="19" t="inlineStr">
        <is>
          <t>0000021</t>
        </is>
      </c>
      <c r="E33" s="19" t="inlineStr">
        <is>
          <t>C000021</t>
        </is>
      </c>
      <c r="F33" s="19" t="inlineStr">
        <is>
          <t>P000005</t>
        </is>
      </c>
      <c r="G33" s="19" t="inlineStr">
        <is>
          <t>Reagent A (Tris buffer, 500 mL)</t>
        </is>
      </c>
      <c r="H33" s="19" t="inlineStr">
        <is>
          <t>Receive</t>
        </is>
      </c>
      <c r="I33" s="19" t="inlineStr">
        <is>
          <t>(none)</t>
        </is>
      </c>
      <c r="J33" s="19" t="inlineStr">
        <is>
          <t>Available</t>
        </is>
      </c>
      <c r="K33" s="19" t="inlineStr">
        <is>
          <t>(none)</t>
        </is>
      </c>
      <c r="L33" s="19" t="inlineStr">
        <is>
          <t>LOC0003</t>
        </is>
      </c>
      <c r="M33" s="19" t="inlineStr">
        <is>
          <t>LOT0043</t>
        </is>
      </c>
      <c r="N33" s="19" t="n"/>
      <c r="O33" s="19" t="inlineStr">
        <is>
          <t>PO-1016</t>
        </is>
      </c>
      <c r="P33" s="19" t="inlineStr">
        <is>
          <t>Tris reagent received (expires 2026-08-10; not yet MarkExpired)</t>
        </is>
      </c>
    </row>
    <row r="34">
      <c r="A34" s="19" t="inlineStr">
        <is>
          <t>T00000030</t>
        </is>
      </c>
      <c r="B34" s="22" t="n">
        <v>46249.58333333334</v>
      </c>
      <c r="C34" s="19" t="inlineStr">
        <is>
          <t>LAB-USER</t>
        </is>
      </c>
      <c r="D34" s="19" t="inlineStr">
        <is>
          <t>0000020</t>
        </is>
      </c>
      <c r="E34" s="19" t="inlineStr">
        <is>
          <t>C000020</t>
        </is>
      </c>
      <c r="F34" s="19" t="inlineStr">
        <is>
          <t>P000001</t>
        </is>
      </c>
      <c r="G34" s="19" t="inlineStr">
        <is>
          <t>Pipette Tips 200 uL (96/box)</t>
        </is>
      </c>
      <c r="H34" s="19" t="inlineStr">
        <is>
          <t>Receive</t>
        </is>
      </c>
      <c r="I34" s="19" t="inlineStr">
        <is>
          <t>(none)</t>
        </is>
      </c>
      <c r="J34" s="19" t="inlineStr">
        <is>
          <t>Available</t>
        </is>
      </c>
      <c r="K34" s="19" t="inlineStr">
        <is>
          <t>(none)</t>
        </is>
      </c>
      <c r="L34" s="19" t="inlineStr">
        <is>
          <t>LOC0004</t>
        </is>
      </c>
      <c r="M34" s="19" t="inlineStr">
        <is>
          <t>LOT0003</t>
        </is>
      </c>
      <c r="N34" s="19" t="n"/>
      <c r="O34" s="19" t="inlineStr">
        <is>
          <t>PO-1015</t>
        </is>
      </c>
      <c r="P34" s="19" t="inlineStr">
        <is>
          <t>Tips box 4 received</t>
        </is>
      </c>
    </row>
    <row r="35">
      <c r="A35" s="19" t="inlineStr">
        <is>
          <t>T00000031</t>
        </is>
      </c>
      <c r="B35" s="22" t="n">
        <v>46250.41666666666</v>
      </c>
      <c r="C35" s="19" t="inlineStr">
        <is>
          <t>LAB-USER</t>
        </is>
      </c>
      <c r="D35" s="19" t="inlineStr">
        <is>
          <t>0000020</t>
        </is>
      </c>
      <c r="E35" s="19" t="inlineStr">
        <is>
          <t>C000020</t>
        </is>
      </c>
      <c r="F35" s="19" t="inlineStr">
        <is>
          <t>P000001</t>
        </is>
      </c>
      <c r="G35" s="19" t="inlineStr">
        <is>
          <t>Pipette Tips 200 uL (96/box)</t>
        </is>
      </c>
      <c r="H35" s="19" t="inlineStr">
        <is>
          <t>MarkMissing</t>
        </is>
      </c>
      <c r="I35" s="19" t="inlineStr">
        <is>
          <t>Available</t>
        </is>
      </c>
      <c r="J35" s="19" t="inlineStr">
        <is>
          <t>Missing</t>
        </is>
      </c>
      <c r="K35" s="19" t="inlineStr">
        <is>
          <t>LOC0004</t>
        </is>
      </c>
      <c r="L35" s="19" t="inlineStr">
        <is>
          <t>(none)</t>
        </is>
      </c>
      <c r="M35" s="19" t="inlineStr">
        <is>
          <t>LOT0003</t>
        </is>
      </c>
      <c r="N35" s="19" t="inlineStr">
        <is>
          <t>Missing</t>
        </is>
      </c>
      <c r="O35" s="19" t="n"/>
      <c r="P35" s="19" t="inlineStr">
        <is>
          <t>Tips box 4 missing</t>
        </is>
      </c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</row>
    <row r="7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</row>
    <row r="93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</row>
    <row r="95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</row>
    <row r="102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</row>
    <row r="104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</row>
    <row r="105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</row>
    <row r="10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</row>
    <row r="113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</row>
    <row r="114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</row>
    <row r="115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</row>
    <row r="11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</row>
    <row r="997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</row>
    <row r="998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</row>
    <row r="99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</row>
    <row r="1000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</row>
    <row r="1001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19" t="n"/>
      <c r="P1001" s="19" t="n"/>
    </row>
    <row r="1002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19" t="n"/>
      <c r="P1002" s="19" t="n"/>
    </row>
    <row r="1003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19" t="n"/>
      <c r="P1003" s="19" t="n"/>
    </row>
    <row r="1004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19" t="n"/>
      <c r="P1004" s="19" t="n"/>
    </row>
    <row r="1005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19" t="n"/>
      <c r="P1005" s="19" t="n"/>
    </row>
    <row r="1006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19" t="n"/>
      <c r="P1006" s="19" t="n"/>
    </row>
    <row r="1007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19" t="n"/>
      <c r="P1007" s="19" t="n"/>
    </row>
    <row r="1008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19" t="n"/>
      <c r="P1008" s="19" t="n"/>
    </row>
    <row r="100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19" t="n"/>
      <c r="P1009" s="19" t="n"/>
    </row>
    <row r="1010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19" t="n"/>
      <c r="P1010" s="19" t="n"/>
    </row>
    <row r="1011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19" t="n"/>
      <c r="P1011" s="19" t="n"/>
    </row>
    <row r="1012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19" t="n"/>
      <c r="P1012" s="19" t="n"/>
    </row>
    <row r="1013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19" t="n"/>
      <c r="P1013" s="19" t="n"/>
    </row>
    <row r="1014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19" t="n"/>
      <c r="P1014" s="19" t="n"/>
    </row>
    <row r="1015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19" t="n"/>
      <c r="P1015" s="19" t="n"/>
    </row>
    <row r="1016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19" t="n"/>
      <c r="P1016" s="19" t="n"/>
    </row>
    <row r="1017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19" t="n"/>
      <c r="P1017" s="19" t="n"/>
    </row>
    <row r="1018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19" t="n"/>
      <c r="P1018" s="19" t="n"/>
    </row>
    <row r="101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19" t="n"/>
      <c r="P1019" s="19" t="n"/>
    </row>
    <row r="1020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19" t="n"/>
      <c r="P1020" s="19" t="n"/>
    </row>
    <row r="1021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19" t="n"/>
      <c r="P1021" s="19" t="n"/>
    </row>
    <row r="1022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19" t="n"/>
      <c r="P1022" s="19" t="n"/>
    </row>
    <row r="1023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19" t="n"/>
      <c r="P1023" s="19" t="n"/>
    </row>
    <row r="1024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19" t="n"/>
      <c r="P1024" s="19" t="n"/>
    </row>
    <row r="1025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19" t="n"/>
      <c r="P1025" s="19" t="n"/>
    </row>
    <row r="1026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19" t="n"/>
      <c r="P1026" s="19" t="n"/>
    </row>
    <row r="1027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19" t="n"/>
      <c r="P1027" s="19" t="n"/>
    </row>
    <row r="1028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19" t="n"/>
      <c r="P1028" s="19" t="n"/>
    </row>
    <row r="102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19" t="n"/>
      <c r="P1029" s="19" t="n"/>
    </row>
    <row r="1030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19" t="n"/>
      <c r="P1030" s="19" t="n"/>
    </row>
    <row r="1031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19" t="n"/>
      <c r="P1031" s="19" t="n"/>
    </row>
    <row r="1032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19" t="n"/>
      <c r="P1032" s="19" t="n"/>
    </row>
    <row r="1033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19" t="n"/>
      <c r="P1033" s="19" t="n"/>
    </row>
    <row r="1034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19" t="n"/>
      <c r="P1034" s="19" t="n"/>
    </row>
    <row r="1035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19" t="n"/>
      <c r="P1035" s="19" t="n"/>
    </row>
    <row r="1036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19" t="n"/>
      <c r="P1036" s="19" t="n"/>
    </row>
    <row r="1037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19" t="n"/>
      <c r="P1037" s="19" t="n"/>
    </row>
    <row r="1038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19" t="n"/>
      <c r="P1038" s="19" t="n"/>
    </row>
    <row r="10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19" t="n"/>
      <c r="P1039" s="19" t="n"/>
    </row>
    <row r="1040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19" t="n"/>
      <c r="P1040" s="19" t="n"/>
    </row>
    <row r="1041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19" t="n"/>
      <c r="P1041" s="19" t="n"/>
    </row>
    <row r="1042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19" t="n"/>
      <c r="P1042" s="19" t="n"/>
    </row>
    <row r="1043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19" t="n"/>
      <c r="P1043" s="19" t="n"/>
    </row>
    <row r="1044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19" t="n"/>
      <c r="P1044" s="19" t="n"/>
    </row>
    <row r="1045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19" t="n"/>
      <c r="P1045" s="19" t="n"/>
    </row>
    <row r="1046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19" t="n"/>
      <c r="P1046" s="19" t="n"/>
    </row>
    <row r="1047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19" t="n"/>
      <c r="P1047" s="19" t="n"/>
    </row>
    <row r="1048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19" t="n"/>
      <c r="P1048" s="19" t="n"/>
    </row>
    <row r="104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19" t="n"/>
      <c r="P1049" s="19" t="n"/>
    </row>
    <row r="1050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19" t="n"/>
      <c r="P1050" s="19" t="n"/>
    </row>
    <row r="1051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19" t="n"/>
      <c r="P1051" s="19" t="n"/>
    </row>
    <row r="1052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19" t="n"/>
      <c r="P1052" s="19" t="n"/>
    </row>
    <row r="1053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19" t="n"/>
      <c r="P1053" s="19" t="n"/>
    </row>
    <row r="1054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19" t="n"/>
      <c r="P1054" s="19" t="n"/>
    </row>
    <row r="1055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19" t="n"/>
      <c r="P1055" s="19" t="n"/>
    </row>
    <row r="1056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19" t="n"/>
      <c r="P1056" s="19" t="n"/>
    </row>
    <row r="1057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19" t="n"/>
      <c r="P1057" s="19" t="n"/>
    </row>
    <row r="1058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19" t="n"/>
      <c r="P1058" s="19" t="n"/>
    </row>
    <row r="105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19" t="n"/>
      <c r="P1059" s="19" t="n"/>
    </row>
    <row r="1060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19" t="n"/>
      <c r="P1060" s="19" t="n"/>
    </row>
    <row r="1061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19" t="n"/>
      <c r="P1061" s="19" t="n"/>
    </row>
    <row r="1062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19" t="n"/>
      <c r="P1062" s="19" t="n"/>
    </row>
    <row r="1063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19" t="n"/>
      <c r="P1063" s="19" t="n"/>
    </row>
    <row r="1064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19" t="n"/>
      <c r="P1064" s="19" t="n"/>
    </row>
    <row r="1065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19" t="n"/>
      <c r="P1065" s="19" t="n"/>
    </row>
    <row r="1066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19" t="n"/>
      <c r="P1066" s="19" t="n"/>
    </row>
    <row r="1067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19" t="n"/>
      <c r="P1067" s="19" t="n"/>
    </row>
    <row r="1068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19" t="n"/>
      <c r="P1068" s="19" t="n"/>
    </row>
    <row r="106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19" t="n"/>
      <c r="P1069" s="19" t="n"/>
    </row>
    <row r="1070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19" t="n"/>
      <c r="P1070" s="19" t="n"/>
    </row>
    <row r="1071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19" t="n"/>
      <c r="P1071" s="19" t="n"/>
    </row>
    <row r="1072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19" t="n"/>
      <c r="P1072" s="19" t="n"/>
    </row>
    <row r="1073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19" t="n"/>
      <c r="P1073" s="19" t="n"/>
    </row>
    <row r="1074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19" t="n"/>
      <c r="P1074" s="19" t="n"/>
    </row>
    <row r="1075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19" t="n"/>
      <c r="P1075" s="19" t="n"/>
    </row>
    <row r="1076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19" t="n"/>
      <c r="P1076" s="19" t="n"/>
    </row>
    <row r="1077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19" t="n"/>
      <c r="P1077" s="19" t="n"/>
    </row>
    <row r="1078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19" t="n"/>
      <c r="P1078" s="19" t="n"/>
    </row>
    <row r="107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19" t="n"/>
      <c r="P1079" s="19" t="n"/>
    </row>
    <row r="1080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19" t="n"/>
      <c r="P1080" s="19" t="n"/>
    </row>
    <row r="1081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19" t="n"/>
      <c r="P1081" s="19" t="n"/>
    </row>
    <row r="1082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19" t="n"/>
      <c r="P1082" s="19" t="n"/>
    </row>
    <row r="1083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19" t="n"/>
      <c r="P1083" s="19" t="n"/>
    </row>
    <row r="1084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19" t="n"/>
      <c r="P1084" s="19" t="n"/>
    </row>
    <row r="1085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19" t="n"/>
      <c r="P1085" s="19" t="n"/>
    </row>
    <row r="1086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19" t="n"/>
      <c r="P1086" s="19" t="n"/>
    </row>
    <row r="1087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19" t="n"/>
      <c r="P1087" s="19" t="n"/>
    </row>
    <row r="1088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19" t="n"/>
      <c r="P1088" s="19" t="n"/>
    </row>
    <row r="108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19" t="n"/>
      <c r="P1089" s="19" t="n"/>
    </row>
    <row r="1090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19" t="n"/>
      <c r="P1090" s="19" t="n"/>
    </row>
    <row r="1091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19" t="n"/>
      <c r="P1091" s="19" t="n"/>
    </row>
    <row r="1092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19" t="n"/>
      <c r="P1092" s="19" t="n"/>
    </row>
    <row r="1093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19" t="n"/>
      <c r="P1093" s="19" t="n"/>
    </row>
    <row r="1094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19" t="n"/>
      <c r="P1094" s="19" t="n"/>
    </row>
    <row r="1095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19" t="n"/>
      <c r="P1095" s="19" t="n"/>
    </row>
    <row r="1096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19" t="n"/>
      <c r="P1096" s="19" t="n"/>
    </row>
    <row r="1097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19" t="n"/>
      <c r="P1097" s="19" t="n"/>
    </row>
    <row r="1098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19" t="n"/>
      <c r="P1098" s="19" t="n"/>
    </row>
    <row r="109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19" t="n"/>
      <c r="P1099" s="19" t="n"/>
    </row>
    <row r="1100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19" t="n"/>
      <c r="P1100" s="19" t="n"/>
    </row>
    <row r="1101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19" t="n"/>
      <c r="P1101" s="19" t="n"/>
    </row>
    <row r="1102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19" t="n"/>
      <c r="P1102" s="19" t="n"/>
    </row>
    <row r="1103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19" t="n"/>
      <c r="P1103" s="19" t="n"/>
    </row>
    <row r="1104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19" t="n"/>
      <c r="P1104" s="19" t="n"/>
    </row>
    <row r="1105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19" t="n"/>
      <c r="P1105" s="19" t="n"/>
    </row>
    <row r="1106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19" t="n"/>
      <c r="P1106" s="19" t="n"/>
    </row>
    <row r="1107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19" t="n"/>
      <c r="P1107" s="19" t="n"/>
    </row>
    <row r="1108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19" t="n"/>
      <c r="P1108" s="19" t="n"/>
    </row>
    <row r="110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19" t="n"/>
      <c r="P1109" s="19" t="n"/>
    </row>
    <row r="1110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19" t="n"/>
      <c r="P1110" s="19" t="n"/>
    </row>
    <row r="1111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19" t="n"/>
      <c r="P1111" s="19" t="n"/>
    </row>
    <row r="1112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19" t="n"/>
      <c r="P1112" s="19" t="n"/>
    </row>
    <row r="1113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19" t="n"/>
      <c r="P1113" s="19" t="n"/>
    </row>
    <row r="1114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19" t="n"/>
      <c r="P1114" s="19" t="n"/>
    </row>
    <row r="1115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19" t="n"/>
      <c r="P1115" s="19" t="n"/>
    </row>
    <row r="1116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19" t="n"/>
      <c r="P1116" s="19" t="n"/>
    </row>
    <row r="1117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19" t="n"/>
      <c r="P1117" s="19" t="n"/>
    </row>
    <row r="1118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19" t="n"/>
      <c r="P1118" s="19" t="n"/>
    </row>
    <row r="111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19" t="n"/>
      <c r="P1119" s="19" t="n"/>
    </row>
    <row r="1120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19" t="n"/>
      <c r="P1120" s="19" t="n"/>
    </row>
    <row r="1121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19" t="n"/>
      <c r="P1121" s="19" t="n"/>
    </row>
    <row r="1122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19" t="n"/>
      <c r="P1122" s="19" t="n"/>
    </row>
    <row r="1123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19" t="n"/>
      <c r="P1123" s="19" t="n"/>
    </row>
    <row r="1124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19" t="n"/>
      <c r="P1124" s="19" t="n"/>
    </row>
    <row r="1125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19" t="n"/>
      <c r="P1125" s="19" t="n"/>
    </row>
    <row r="1126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19" t="n"/>
      <c r="P1126" s="19" t="n"/>
    </row>
    <row r="1127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19" t="n"/>
      <c r="P1127" s="19" t="n"/>
    </row>
    <row r="1128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19" t="n"/>
      <c r="P1128" s="19" t="n"/>
    </row>
    <row r="112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19" t="n"/>
      <c r="P1129" s="19" t="n"/>
    </row>
    <row r="1130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19" t="n"/>
      <c r="P1130" s="19" t="n"/>
    </row>
    <row r="1131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19" t="n"/>
      <c r="P1131" s="19" t="n"/>
    </row>
    <row r="1132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19" t="n"/>
      <c r="P1132" s="19" t="n"/>
    </row>
    <row r="1133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19" t="n"/>
      <c r="P1133" s="19" t="n"/>
    </row>
    <row r="1134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19" t="n"/>
      <c r="P1134" s="19" t="n"/>
    </row>
    <row r="1135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19" t="n"/>
      <c r="P1135" s="19" t="n"/>
    </row>
    <row r="1136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19" t="n"/>
      <c r="P1136" s="19" t="n"/>
    </row>
    <row r="1137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19" t="n"/>
      <c r="P1137" s="19" t="n"/>
    </row>
    <row r="1138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19" t="n"/>
      <c r="P1138" s="19" t="n"/>
    </row>
    <row r="11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19" t="n"/>
      <c r="P1139" s="19" t="n"/>
    </row>
    <row r="1140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19" t="n"/>
      <c r="P1140" s="19" t="n"/>
    </row>
    <row r="1141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19" t="n"/>
      <c r="P1141" s="19" t="n"/>
    </row>
    <row r="1142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19" t="n"/>
      <c r="P1142" s="19" t="n"/>
    </row>
    <row r="1143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19" t="n"/>
      <c r="P1143" s="19" t="n"/>
    </row>
    <row r="1144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19" t="n"/>
      <c r="P1144" s="19" t="n"/>
    </row>
    <row r="1145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19" t="n"/>
      <c r="P1145" s="19" t="n"/>
    </row>
    <row r="1146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19" t="n"/>
      <c r="P1146" s="19" t="n"/>
    </row>
    <row r="1147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19" t="n"/>
      <c r="P1147" s="19" t="n"/>
    </row>
    <row r="1148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19" t="n"/>
      <c r="P1148" s="19" t="n"/>
    </row>
    <row r="114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19" t="n"/>
      <c r="P1149" s="19" t="n"/>
    </row>
    <row r="1150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19" t="n"/>
      <c r="P1150" s="19" t="n"/>
    </row>
    <row r="1151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19" t="n"/>
      <c r="P1151" s="19" t="n"/>
    </row>
    <row r="1152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19" t="n"/>
      <c r="P1152" s="19" t="n"/>
    </row>
    <row r="1153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19" t="n"/>
      <c r="P1153" s="19" t="n"/>
    </row>
    <row r="1154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19" t="n"/>
      <c r="P1154" s="19" t="n"/>
    </row>
    <row r="1155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19" t="n"/>
      <c r="P1155" s="19" t="n"/>
    </row>
    <row r="1156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19" t="n"/>
      <c r="P1156" s="19" t="n"/>
    </row>
    <row r="1157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19" t="n"/>
      <c r="P1157" s="19" t="n"/>
    </row>
    <row r="1158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19" t="n"/>
      <c r="P1158" s="19" t="n"/>
    </row>
    <row r="115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19" t="n"/>
      <c r="P1159" s="19" t="n"/>
    </row>
    <row r="1160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19" t="n"/>
      <c r="P1160" s="19" t="n"/>
    </row>
    <row r="1161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19" t="n"/>
      <c r="P1161" s="19" t="n"/>
    </row>
    <row r="1162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19" t="n"/>
      <c r="P1162" s="19" t="n"/>
    </row>
    <row r="1163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19" t="n"/>
      <c r="P1163" s="19" t="n"/>
    </row>
    <row r="1164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19" t="n"/>
      <c r="P1164" s="19" t="n"/>
    </row>
    <row r="1165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19" t="n"/>
      <c r="P1165" s="19" t="n"/>
    </row>
    <row r="1166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19" t="n"/>
      <c r="P1166" s="19" t="n"/>
    </row>
    <row r="1167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19" t="n"/>
      <c r="P1167" s="19" t="n"/>
    </row>
    <row r="1168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19" t="n"/>
      <c r="P1168" s="19" t="n"/>
    </row>
    <row r="116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19" t="n"/>
      <c r="P1169" s="19" t="n"/>
    </row>
    <row r="1170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19" t="n"/>
      <c r="P1170" s="19" t="n"/>
    </row>
    <row r="1171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19" t="n"/>
      <c r="P1171" s="19" t="n"/>
    </row>
    <row r="1172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19" t="n"/>
      <c r="P1172" s="19" t="n"/>
    </row>
    <row r="1173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19" t="n"/>
      <c r="P1173" s="19" t="n"/>
    </row>
    <row r="1174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19" t="n"/>
      <c r="P1174" s="19" t="n"/>
    </row>
    <row r="1175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19" t="n"/>
      <c r="P1175" s="19" t="n"/>
    </row>
    <row r="1176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19" t="n"/>
      <c r="P1176" s="19" t="n"/>
    </row>
    <row r="1177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19" t="n"/>
      <c r="P1177" s="19" t="n"/>
    </row>
    <row r="1178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19" t="n"/>
      <c r="P1178" s="19" t="n"/>
    </row>
    <row r="117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19" t="n"/>
      <c r="P1179" s="19" t="n"/>
    </row>
    <row r="1180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19" t="n"/>
      <c r="P1180" s="19" t="n"/>
    </row>
    <row r="1181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19" t="n"/>
      <c r="P1181" s="19" t="n"/>
    </row>
    <row r="1182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19" t="n"/>
      <c r="P1182" s="19" t="n"/>
    </row>
    <row r="1183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19" t="n"/>
      <c r="P1183" s="19" t="n"/>
    </row>
    <row r="1184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19" t="n"/>
      <c r="P1184" s="19" t="n"/>
    </row>
    <row r="1185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19" t="n"/>
      <c r="P1185" s="19" t="n"/>
    </row>
    <row r="1186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19" t="n"/>
      <c r="P1186" s="19" t="n"/>
    </row>
    <row r="1187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19" t="n"/>
      <c r="P1187" s="19" t="n"/>
    </row>
    <row r="1188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19" t="n"/>
      <c r="P1188" s="19" t="n"/>
    </row>
    <row r="118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19" t="n"/>
      <c r="P1189" s="19" t="n"/>
    </row>
    <row r="1190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19" t="n"/>
      <c r="P1190" s="19" t="n"/>
    </row>
    <row r="1191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19" t="n"/>
      <c r="P1191" s="19" t="n"/>
    </row>
    <row r="1192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19" t="n"/>
      <c r="P1192" s="19" t="n"/>
    </row>
    <row r="1193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19" t="n"/>
      <c r="P1193" s="19" t="n"/>
    </row>
    <row r="1194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19" t="n"/>
      <c r="P1194" s="19" t="n"/>
    </row>
    <row r="1195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19" t="n"/>
      <c r="P1195" s="19" t="n"/>
    </row>
    <row r="1196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19" t="n"/>
      <c r="P1196" s="19" t="n"/>
    </row>
    <row r="1197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19" t="n"/>
      <c r="P1197" s="19" t="n"/>
    </row>
    <row r="1198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19" t="n"/>
      <c r="P1198" s="19" t="n"/>
    </row>
    <row r="119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19" t="n"/>
      <c r="P1199" s="19" t="n"/>
    </row>
    <row r="1200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19" t="n"/>
      <c r="P1200" s="19" t="n"/>
    </row>
    <row r="1201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19" t="n"/>
      <c r="P1201" s="19" t="n"/>
    </row>
    <row r="1202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19" t="n"/>
      <c r="P1202" s="19" t="n"/>
    </row>
    <row r="1203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19" t="n"/>
      <c r="P1203" s="19" t="n"/>
    </row>
    <row r="1204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19" t="n"/>
      <c r="P1204" s="19" t="n"/>
    </row>
    <row r="1205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19" t="n"/>
      <c r="P1205" s="19" t="n"/>
    </row>
    <row r="1206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19" t="n"/>
      <c r="P1206" s="19" t="n"/>
    </row>
    <row r="1207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19" t="n"/>
      <c r="P1207" s="19" t="n"/>
    </row>
    <row r="1208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19" t="n"/>
      <c r="P1208" s="19" t="n"/>
    </row>
    <row r="120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19" t="n"/>
      <c r="P1209" s="19" t="n"/>
    </row>
    <row r="1210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19" t="n"/>
      <c r="P1210" s="19" t="n"/>
    </row>
    <row r="1211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19" t="n"/>
      <c r="P1211" s="19" t="n"/>
    </row>
    <row r="1212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19" t="n"/>
      <c r="P1212" s="19" t="n"/>
    </row>
    <row r="1213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19" t="n"/>
      <c r="P1213" s="19" t="n"/>
    </row>
    <row r="1214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19" t="n"/>
      <c r="P1214" s="19" t="n"/>
    </row>
    <row r="1215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19" t="n"/>
      <c r="P1215" s="19" t="n"/>
    </row>
    <row r="1216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19" t="n"/>
      <c r="P1216" s="19" t="n"/>
    </row>
    <row r="1217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19" t="n"/>
      <c r="P1217" s="19" t="n"/>
    </row>
    <row r="1218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19" t="n"/>
      <c r="P1218" s="19" t="n"/>
    </row>
    <row r="121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19" t="n"/>
      <c r="P1219" s="19" t="n"/>
    </row>
    <row r="1220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19" t="n"/>
      <c r="P1220" s="19" t="n"/>
    </row>
    <row r="1221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19" t="n"/>
      <c r="P1221" s="19" t="n"/>
    </row>
    <row r="1222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19" t="n"/>
      <c r="P1222" s="19" t="n"/>
    </row>
    <row r="1223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19" t="n"/>
      <c r="P1223" s="19" t="n"/>
    </row>
    <row r="1224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19" t="n"/>
      <c r="P1224" s="19" t="n"/>
    </row>
    <row r="1225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19" t="n"/>
      <c r="P1225" s="19" t="n"/>
    </row>
    <row r="1226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19" t="n"/>
      <c r="P1226" s="19" t="n"/>
    </row>
    <row r="1227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19" t="n"/>
      <c r="P1227" s="19" t="n"/>
    </row>
    <row r="1228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19" t="n"/>
      <c r="P1228" s="19" t="n"/>
    </row>
    <row r="122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19" t="n"/>
      <c r="P1229" s="19" t="n"/>
    </row>
    <row r="1230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19" t="n"/>
      <c r="P1230" s="19" t="n"/>
    </row>
    <row r="1231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19" t="n"/>
      <c r="P1231" s="19" t="n"/>
    </row>
    <row r="1232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19" t="n"/>
      <c r="P1232" s="19" t="n"/>
    </row>
    <row r="1233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19" t="n"/>
      <c r="P1233" s="19" t="n"/>
    </row>
    <row r="1234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19" t="n"/>
      <c r="P1234" s="19" t="n"/>
    </row>
    <row r="1235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19" t="n"/>
      <c r="P1235" s="19" t="n"/>
    </row>
    <row r="1236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19" t="n"/>
      <c r="P1236" s="19" t="n"/>
    </row>
    <row r="1237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19" t="n"/>
      <c r="P1237" s="19" t="n"/>
    </row>
    <row r="1238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19" t="n"/>
      <c r="P1238" s="19" t="n"/>
    </row>
    <row r="12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19" t="n"/>
      <c r="P1239" s="19" t="n"/>
    </row>
    <row r="1240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19" t="n"/>
      <c r="P1240" s="19" t="n"/>
    </row>
    <row r="1241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19" t="n"/>
      <c r="P1241" s="19" t="n"/>
    </row>
    <row r="1242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19" t="n"/>
      <c r="P1242" s="19" t="n"/>
    </row>
    <row r="1243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19" t="n"/>
      <c r="P1243" s="19" t="n"/>
    </row>
    <row r="1244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19" t="n"/>
      <c r="P1244" s="19" t="n"/>
    </row>
    <row r="1245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19" t="n"/>
      <c r="P1245" s="19" t="n"/>
    </row>
    <row r="1246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19" t="n"/>
      <c r="P1246" s="19" t="n"/>
    </row>
    <row r="1247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19" t="n"/>
      <c r="P1247" s="19" t="n"/>
    </row>
    <row r="1248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19" t="n"/>
      <c r="P1248" s="19" t="n"/>
    </row>
    <row r="124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19" t="n"/>
      <c r="P1249" s="19" t="n"/>
    </row>
    <row r="1250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19" t="n"/>
      <c r="P1250" s="19" t="n"/>
    </row>
    <row r="1251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19" t="n"/>
      <c r="P1251" s="19" t="n"/>
    </row>
    <row r="1252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19" t="n"/>
      <c r="P1252" s="19" t="n"/>
    </row>
    <row r="1253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19" t="n"/>
      <c r="P1253" s="19" t="n"/>
    </row>
    <row r="1254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19" t="n"/>
      <c r="P1254" s="19" t="n"/>
    </row>
    <row r="1255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19" t="n"/>
      <c r="P1255" s="19" t="n"/>
    </row>
    <row r="1256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19" t="n"/>
      <c r="P1256" s="19" t="n"/>
    </row>
    <row r="1257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19" t="n"/>
      <c r="P1257" s="19" t="n"/>
    </row>
    <row r="1258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19" t="n"/>
      <c r="P1258" s="19" t="n"/>
    </row>
    <row r="125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19" t="n"/>
      <c r="P1259" s="19" t="n"/>
    </row>
    <row r="1260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19" t="n"/>
      <c r="P1260" s="19" t="n"/>
    </row>
    <row r="1261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19" t="n"/>
      <c r="P1261" s="19" t="n"/>
    </row>
    <row r="1262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19" t="n"/>
      <c r="P1262" s="19" t="n"/>
    </row>
    <row r="1263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19" t="n"/>
      <c r="P1263" s="19" t="n"/>
    </row>
    <row r="1264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19" t="n"/>
      <c r="P1264" s="19" t="n"/>
    </row>
    <row r="1265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19" t="n"/>
      <c r="P1265" s="19" t="n"/>
    </row>
    <row r="1266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19" t="n"/>
      <c r="P1266" s="19" t="n"/>
    </row>
    <row r="1267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19" t="n"/>
      <c r="P1267" s="19" t="n"/>
    </row>
    <row r="1268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19" t="n"/>
      <c r="P1268" s="19" t="n"/>
    </row>
    <row r="126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19" t="n"/>
      <c r="P1269" s="19" t="n"/>
    </row>
    <row r="1270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19" t="n"/>
      <c r="P1270" s="19" t="n"/>
    </row>
    <row r="1271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19" t="n"/>
      <c r="P1271" s="19" t="n"/>
    </row>
    <row r="1272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19" t="n"/>
      <c r="P1272" s="19" t="n"/>
    </row>
    <row r="1273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19" t="n"/>
      <c r="P1273" s="19" t="n"/>
    </row>
    <row r="1274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19" t="n"/>
      <c r="P1274" s="19" t="n"/>
    </row>
    <row r="1275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19" t="n"/>
      <c r="P1275" s="19" t="n"/>
    </row>
    <row r="1276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19" t="n"/>
      <c r="P1276" s="19" t="n"/>
    </row>
    <row r="1277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19" t="n"/>
      <c r="P1277" s="19" t="n"/>
    </row>
    <row r="1278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19" t="n"/>
      <c r="P1278" s="19" t="n"/>
    </row>
    <row r="127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19" t="n"/>
      <c r="P1279" s="19" t="n"/>
    </row>
    <row r="1280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19" t="n"/>
      <c r="P1280" s="19" t="n"/>
    </row>
    <row r="1281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19" t="n"/>
      <c r="P1281" s="19" t="n"/>
    </row>
    <row r="1282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19" t="n"/>
      <c r="P1282" s="19" t="n"/>
    </row>
    <row r="1283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19" t="n"/>
      <c r="P1283" s="19" t="n"/>
    </row>
    <row r="1284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19" t="n"/>
      <c r="P1284" s="19" t="n"/>
    </row>
    <row r="1285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19" t="n"/>
      <c r="P1285" s="19" t="n"/>
    </row>
    <row r="1286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19" t="n"/>
      <c r="P1286" s="19" t="n"/>
    </row>
    <row r="1287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19" t="n"/>
      <c r="P1287" s="19" t="n"/>
    </row>
    <row r="1288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19" t="n"/>
      <c r="P1288" s="19" t="n"/>
    </row>
    <row r="128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19" t="n"/>
      <c r="P1289" s="19" t="n"/>
    </row>
    <row r="1290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19" t="n"/>
      <c r="P1290" s="19" t="n"/>
    </row>
    <row r="1291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19" t="n"/>
      <c r="P1291" s="19" t="n"/>
    </row>
    <row r="1292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19" t="n"/>
      <c r="P1292" s="19" t="n"/>
    </row>
    <row r="1293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19" t="n"/>
      <c r="P1293" s="19" t="n"/>
    </row>
    <row r="1294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19" t="n"/>
      <c r="P1294" s="19" t="n"/>
    </row>
    <row r="1295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19" t="n"/>
      <c r="P1295" s="19" t="n"/>
    </row>
    <row r="1296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19" t="n"/>
      <c r="P1296" s="19" t="n"/>
    </row>
    <row r="1297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19" t="n"/>
      <c r="P1297" s="19" t="n"/>
    </row>
    <row r="1298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19" t="n"/>
      <c r="P1298" s="19" t="n"/>
    </row>
    <row r="129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19" t="n"/>
      <c r="P1299" s="19" t="n"/>
    </row>
    <row r="1300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19" t="n"/>
      <c r="P1300" s="19" t="n"/>
    </row>
    <row r="1301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19" t="n"/>
      <c r="P1301" s="19" t="n"/>
    </row>
    <row r="1302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19" t="n"/>
      <c r="P1302" s="19" t="n"/>
    </row>
    <row r="1303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19" t="n"/>
      <c r="P1303" s="19" t="n"/>
    </row>
    <row r="1304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19" t="n"/>
      <c r="P1304" s="19" t="n"/>
    </row>
    <row r="1305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19" t="n"/>
      <c r="P1305" s="19" t="n"/>
    </row>
    <row r="1306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19" t="n"/>
      <c r="P1306" s="19" t="n"/>
    </row>
    <row r="1307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19" t="n"/>
      <c r="P1307" s="19" t="n"/>
    </row>
    <row r="1308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19" t="n"/>
      <c r="P1308" s="19" t="n"/>
    </row>
    <row r="130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19" t="n"/>
      <c r="P1309" s="19" t="n"/>
    </row>
    <row r="1310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19" t="n"/>
      <c r="P1310" s="19" t="n"/>
    </row>
    <row r="1311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19" t="n"/>
      <c r="P1311" s="19" t="n"/>
    </row>
    <row r="1312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19" t="n"/>
      <c r="P1312" s="19" t="n"/>
    </row>
    <row r="1313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19" t="n"/>
      <c r="P1313" s="19" t="n"/>
    </row>
    <row r="1314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19" t="n"/>
      <c r="P1314" s="19" t="n"/>
    </row>
    <row r="1315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19" t="n"/>
      <c r="P1315" s="19" t="n"/>
    </row>
    <row r="1316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19" t="n"/>
      <c r="P1316" s="19" t="n"/>
    </row>
    <row r="1317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19" t="n"/>
      <c r="P1317" s="19" t="n"/>
    </row>
    <row r="1318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19" t="n"/>
      <c r="P1318" s="19" t="n"/>
    </row>
    <row r="131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19" t="n"/>
      <c r="P1319" s="19" t="n"/>
    </row>
    <row r="1320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19" t="n"/>
      <c r="P1320" s="19" t="n"/>
    </row>
    <row r="1321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19" t="n"/>
      <c r="P1321" s="19" t="n"/>
    </row>
    <row r="1322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19" t="n"/>
      <c r="P1322" s="19" t="n"/>
    </row>
    <row r="1323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19" t="n"/>
      <c r="P1323" s="19" t="n"/>
    </row>
    <row r="1324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19" t="n"/>
      <c r="P1324" s="19" t="n"/>
    </row>
    <row r="1325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19" t="n"/>
      <c r="P1325" s="19" t="n"/>
    </row>
    <row r="1326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19" t="n"/>
      <c r="P1326" s="19" t="n"/>
    </row>
    <row r="1327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19" t="n"/>
      <c r="P1327" s="19" t="n"/>
    </row>
    <row r="1328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19" t="n"/>
      <c r="P1328" s="19" t="n"/>
    </row>
    <row r="132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19" t="n"/>
      <c r="P1329" s="19" t="n"/>
    </row>
    <row r="1330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19" t="n"/>
      <c r="P1330" s="19" t="n"/>
    </row>
    <row r="1331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19" t="n"/>
      <c r="P1331" s="19" t="n"/>
    </row>
    <row r="1332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19" t="n"/>
      <c r="P1332" s="19" t="n"/>
    </row>
    <row r="1333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19" t="n"/>
      <c r="P1333" s="19" t="n"/>
    </row>
    <row r="1334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19" t="n"/>
      <c r="P1334" s="19" t="n"/>
    </row>
    <row r="1335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19" t="n"/>
      <c r="P1335" s="19" t="n"/>
    </row>
    <row r="1336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19" t="n"/>
      <c r="P1336" s="19" t="n"/>
    </row>
    <row r="1337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19" t="n"/>
      <c r="P1337" s="19" t="n"/>
    </row>
    <row r="1338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19" t="n"/>
      <c r="P1338" s="19" t="n"/>
    </row>
    <row r="13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19" t="n"/>
      <c r="P1339" s="19" t="n"/>
    </row>
    <row r="1340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19" t="n"/>
      <c r="P1340" s="19" t="n"/>
    </row>
    <row r="1341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19" t="n"/>
      <c r="P1341" s="19" t="n"/>
    </row>
    <row r="1342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19" t="n"/>
      <c r="P1342" s="19" t="n"/>
    </row>
    <row r="1343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19" t="n"/>
      <c r="P1343" s="19" t="n"/>
    </row>
    <row r="1344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19" t="n"/>
      <c r="P1344" s="19" t="n"/>
    </row>
    <row r="1345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19" t="n"/>
      <c r="P1345" s="19" t="n"/>
    </row>
    <row r="1346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19" t="n"/>
      <c r="P1346" s="19" t="n"/>
    </row>
    <row r="1347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19" t="n"/>
      <c r="P1347" s="19" t="n"/>
    </row>
    <row r="1348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19" t="n"/>
      <c r="P1348" s="19" t="n"/>
    </row>
    <row r="134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19" t="n"/>
      <c r="P1349" s="19" t="n"/>
    </row>
    <row r="1350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19" t="n"/>
      <c r="P1350" s="19" t="n"/>
    </row>
    <row r="1351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19" t="n"/>
      <c r="P1351" s="19" t="n"/>
    </row>
    <row r="1352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19" t="n"/>
      <c r="P1352" s="19" t="n"/>
    </row>
    <row r="1353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19" t="n"/>
      <c r="P1353" s="19" t="n"/>
    </row>
    <row r="1354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19" t="n"/>
      <c r="P1354" s="19" t="n"/>
    </row>
    <row r="1355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19" t="n"/>
      <c r="P1355" s="19" t="n"/>
    </row>
    <row r="1356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19" t="n"/>
      <c r="P1356" s="19" t="n"/>
    </row>
    <row r="1357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19" t="n"/>
      <c r="P1357" s="19" t="n"/>
    </row>
    <row r="1358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19" t="n"/>
      <c r="P1358" s="19" t="n"/>
    </row>
    <row r="135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19" t="n"/>
      <c r="P1359" s="19" t="n"/>
    </row>
    <row r="1360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19" t="n"/>
      <c r="P1360" s="19" t="n"/>
    </row>
    <row r="1361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19" t="n"/>
      <c r="P1361" s="19" t="n"/>
    </row>
    <row r="1362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19" t="n"/>
      <c r="P1362" s="19" t="n"/>
    </row>
    <row r="1363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19" t="n"/>
      <c r="P1363" s="19" t="n"/>
    </row>
    <row r="1364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19" t="n"/>
      <c r="P1364" s="19" t="n"/>
    </row>
    <row r="1365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19" t="n"/>
      <c r="P1365" s="19" t="n"/>
    </row>
    <row r="1366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19" t="n"/>
      <c r="P1366" s="19" t="n"/>
    </row>
    <row r="1367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19" t="n"/>
      <c r="P1367" s="19" t="n"/>
    </row>
    <row r="1368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19" t="n"/>
      <c r="P1368" s="19" t="n"/>
    </row>
    <row r="136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19" t="n"/>
      <c r="P1369" s="19" t="n"/>
    </row>
    <row r="1370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19" t="n"/>
      <c r="P1370" s="19" t="n"/>
    </row>
    <row r="1371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19" t="n"/>
      <c r="P1371" s="19" t="n"/>
    </row>
    <row r="1372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19" t="n"/>
      <c r="P1372" s="19" t="n"/>
    </row>
    <row r="1373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19" t="n"/>
      <c r="P1373" s="19" t="n"/>
    </row>
    <row r="1374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19" t="n"/>
      <c r="P1374" s="19" t="n"/>
    </row>
    <row r="1375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19" t="n"/>
      <c r="P1375" s="19" t="n"/>
    </row>
    <row r="1376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19" t="n"/>
      <c r="P1376" s="19" t="n"/>
    </row>
    <row r="1377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19" t="n"/>
      <c r="P1377" s="19" t="n"/>
    </row>
    <row r="1378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19" t="n"/>
      <c r="P1378" s="19" t="n"/>
    </row>
    <row r="137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19" t="n"/>
      <c r="P1379" s="19" t="n"/>
    </row>
    <row r="1380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19" t="n"/>
      <c r="P1380" s="19" t="n"/>
    </row>
    <row r="1381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19" t="n"/>
      <c r="P1381" s="19" t="n"/>
    </row>
    <row r="1382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19" t="n"/>
      <c r="P1382" s="19" t="n"/>
    </row>
    <row r="1383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19" t="n"/>
      <c r="P1383" s="19" t="n"/>
    </row>
    <row r="1384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19" t="n"/>
      <c r="P1384" s="19" t="n"/>
    </row>
    <row r="1385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19" t="n"/>
      <c r="P1385" s="19" t="n"/>
    </row>
    <row r="1386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19" t="n"/>
      <c r="P1386" s="19" t="n"/>
    </row>
    <row r="1387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19" t="n"/>
      <c r="P1387" s="19" t="n"/>
    </row>
    <row r="1388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19" t="n"/>
      <c r="P1388" s="19" t="n"/>
    </row>
    <row r="138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19" t="n"/>
      <c r="P1389" s="19" t="n"/>
    </row>
    <row r="1390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19" t="n"/>
      <c r="P1390" s="19" t="n"/>
    </row>
    <row r="1391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19" t="n"/>
      <c r="P1391" s="19" t="n"/>
    </row>
    <row r="1392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19" t="n"/>
      <c r="P1392" s="19" t="n"/>
    </row>
    <row r="1393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19" t="n"/>
      <c r="P1393" s="19" t="n"/>
    </row>
    <row r="1394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19" t="n"/>
      <c r="P1394" s="19" t="n"/>
    </row>
    <row r="1395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19" t="n"/>
      <c r="P1395" s="19" t="n"/>
    </row>
    <row r="1396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19" t="n"/>
      <c r="P1396" s="19" t="n"/>
    </row>
    <row r="1397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19" t="n"/>
      <c r="P1397" s="19" t="n"/>
    </row>
    <row r="1398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19" t="n"/>
      <c r="P1398" s="19" t="n"/>
    </row>
    <row r="139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19" t="n"/>
      <c r="P1399" s="19" t="n"/>
    </row>
    <row r="1400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19" t="n"/>
      <c r="P1400" s="19" t="n"/>
    </row>
    <row r="1401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19" t="n"/>
      <c r="P1401" s="19" t="n"/>
    </row>
    <row r="1402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19" t="n"/>
      <c r="P1402" s="19" t="n"/>
    </row>
    <row r="1403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19" t="n"/>
      <c r="P1403" s="19" t="n"/>
    </row>
    <row r="1404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19" t="n"/>
      <c r="P1404" s="19" t="n"/>
    </row>
    <row r="1405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19" t="n"/>
      <c r="P1405" s="19" t="n"/>
    </row>
    <row r="1406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19" t="n"/>
      <c r="P1406" s="19" t="n"/>
    </row>
    <row r="1407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19" t="n"/>
      <c r="P1407" s="19" t="n"/>
    </row>
    <row r="1408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19" t="n"/>
      <c r="P1408" s="19" t="n"/>
    </row>
    <row r="140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19" t="n"/>
      <c r="P1409" s="19" t="n"/>
    </row>
    <row r="1410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19" t="n"/>
      <c r="P1410" s="19" t="n"/>
    </row>
    <row r="1411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19" t="n"/>
      <c r="P1411" s="19" t="n"/>
    </row>
    <row r="1412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19" t="n"/>
      <c r="P1412" s="19" t="n"/>
    </row>
    <row r="1413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19" t="n"/>
      <c r="P1413" s="19" t="n"/>
    </row>
    <row r="1414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19" t="n"/>
      <c r="P1414" s="19" t="n"/>
    </row>
    <row r="1415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19" t="n"/>
      <c r="P1415" s="19" t="n"/>
    </row>
    <row r="1416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19" t="n"/>
      <c r="P1416" s="19" t="n"/>
    </row>
    <row r="1417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19" t="n"/>
      <c r="P1417" s="19" t="n"/>
    </row>
    <row r="1418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19" t="n"/>
      <c r="P1418" s="19" t="n"/>
    </row>
    <row r="141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19" t="n"/>
      <c r="P1419" s="19" t="n"/>
    </row>
    <row r="1420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19" t="n"/>
      <c r="P1420" s="19" t="n"/>
    </row>
    <row r="1421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19" t="n"/>
      <c r="P1421" s="19" t="n"/>
    </row>
    <row r="1422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19" t="n"/>
      <c r="P1422" s="19" t="n"/>
    </row>
    <row r="1423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19" t="n"/>
      <c r="P1423" s="19" t="n"/>
    </row>
    <row r="1424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19" t="n"/>
      <c r="P1424" s="19" t="n"/>
    </row>
    <row r="1425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19" t="n"/>
      <c r="P1425" s="19" t="n"/>
    </row>
    <row r="1426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19" t="n"/>
      <c r="P1426" s="19" t="n"/>
    </row>
    <row r="1427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19" t="n"/>
      <c r="P1427" s="19" t="n"/>
    </row>
    <row r="1428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19" t="n"/>
      <c r="P1428" s="19" t="n"/>
    </row>
    <row r="142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19" t="n"/>
      <c r="P1429" s="19" t="n"/>
    </row>
    <row r="1430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19" t="n"/>
      <c r="P1430" s="19" t="n"/>
    </row>
    <row r="1431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19" t="n"/>
      <c r="P1431" s="19" t="n"/>
    </row>
    <row r="1432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19" t="n"/>
      <c r="P1432" s="19" t="n"/>
    </row>
    <row r="1433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19" t="n"/>
      <c r="P1433" s="19" t="n"/>
    </row>
    <row r="1434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19" t="n"/>
      <c r="P1434" s="19" t="n"/>
    </row>
    <row r="1435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19" t="n"/>
      <c r="P1435" s="19" t="n"/>
    </row>
    <row r="1436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19" t="n"/>
      <c r="P1436" s="19" t="n"/>
    </row>
    <row r="1437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19" t="n"/>
      <c r="P1437" s="19" t="n"/>
    </row>
    <row r="1438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19" t="n"/>
      <c r="P1438" s="19" t="n"/>
    </row>
    <row r="14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19" t="n"/>
      <c r="P1439" s="19" t="n"/>
    </row>
    <row r="1440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19" t="n"/>
      <c r="P1440" s="19" t="n"/>
    </row>
    <row r="1441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19" t="n"/>
      <c r="P1441" s="19" t="n"/>
    </row>
    <row r="1442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19" t="n"/>
      <c r="P1442" s="19" t="n"/>
    </row>
    <row r="1443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19" t="n"/>
      <c r="P1443" s="19" t="n"/>
    </row>
    <row r="1444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19" t="n"/>
      <c r="P1444" s="19" t="n"/>
    </row>
    <row r="1445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19" t="n"/>
      <c r="P1445" s="19" t="n"/>
    </row>
    <row r="1446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19" t="n"/>
      <c r="P1446" s="19" t="n"/>
    </row>
    <row r="1447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19" t="n"/>
      <c r="P1447" s="19" t="n"/>
    </row>
    <row r="1448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19" t="n"/>
      <c r="P1448" s="19" t="n"/>
    </row>
    <row r="144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19" t="n"/>
      <c r="P1449" s="19" t="n"/>
    </row>
    <row r="1450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19" t="n"/>
      <c r="P1450" s="19" t="n"/>
    </row>
    <row r="1451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19" t="n"/>
      <c r="P1451" s="19" t="n"/>
    </row>
    <row r="1452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19" t="n"/>
      <c r="P1452" s="19" t="n"/>
    </row>
    <row r="1453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19" t="n"/>
      <c r="P1453" s="19" t="n"/>
    </row>
    <row r="1454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19" t="n"/>
      <c r="P1454" s="19" t="n"/>
    </row>
    <row r="1455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19" t="n"/>
      <c r="P1455" s="19" t="n"/>
    </row>
    <row r="1456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19" t="n"/>
      <c r="P1456" s="19" t="n"/>
    </row>
    <row r="1457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19" t="n"/>
      <c r="P1457" s="19" t="n"/>
    </row>
    <row r="1458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19" t="n"/>
      <c r="P1458" s="19" t="n"/>
    </row>
    <row r="145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19" t="n"/>
      <c r="P1459" s="19" t="n"/>
    </row>
    <row r="1460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19" t="n"/>
      <c r="P1460" s="19" t="n"/>
    </row>
    <row r="1461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19" t="n"/>
      <c r="P1461" s="19" t="n"/>
    </row>
    <row r="1462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19" t="n"/>
      <c r="P1462" s="19" t="n"/>
    </row>
    <row r="1463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19" t="n"/>
      <c r="P1463" s="19" t="n"/>
    </row>
    <row r="1464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19" t="n"/>
      <c r="P1464" s="19" t="n"/>
    </row>
    <row r="1465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19" t="n"/>
      <c r="P1465" s="19" t="n"/>
    </row>
    <row r="1466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19" t="n"/>
      <c r="P1466" s="19" t="n"/>
    </row>
    <row r="1467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19" t="n"/>
      <c r="P1467" s="19" t="n"/>
    </row>
    <row r="1468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19" t="n"/>
      <c r="P1468" s="19" t="n"/>
    </row>
    <row r="146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19" t="n"/>
      <c r="P1469" s="19" t="n"/>
    </row>
    <row r="1470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19" t="n"/>
      <c r="P1470" s="19" t="n"/>
    </row>
    <row r="1471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19" t="n"/>
      <c r="P1471" s="19" t="n"/>
    </row>
    <row r="1472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19" t="n"/>
      <c r="P1472" s="19" t="n"/>
    </row>
    <row r="1473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19" t="n"/>
      <c r="P1473" s="19" t="n"/>
    </row>
    <row r="1474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19" t="n"/>
      <c r="P1474" s="19" t="n"/>
    </row>
    <row r="1475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19" t="n"/>
      <c r="P1475" s="19" t="n"/>
    </row>
    <row r="1476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19" t="n"/>
      <c r="P1476" s="19" t="n"/>
    </row>
    <row r="1477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19" t="n"/>
      <c r="P1477" s="19" t="n"/>
    </row>
    <row r="1478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19" t="n"/>
      <c r="P1478" s="19" t="n"/>
    </row>
    <row r="147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19" t="n"/>
      <c r="P1479" s="19" t="n"/>
    </row>
    <row r="1480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19" t="n"/>
      <c r="P1480" s="19" t="n"/>
    </row>
    <row r="1481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19" t="n"/>
      <c r="P1481" s="19" t="n"/>
    </row>
    <row r="1482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19" t="n"/>
      <c r="P1482" s="19" t="n"/>
    </row>
    <row r="1483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19" t="n"/>
      <c r="P1483" s="19" t="n"/>
    </row>
    <row r="1484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19" t="n"/>
      <c r="P1484" s="19" t="n"/>
    </row>
    <row r="1485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19" t="n"/>
      <c r="P1485" s="19" t="n"/>
    </row>
    <row r="1486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19" t="n"/>
      <c r="P1486" s="19" t="n"/>
    </row>
    <row r="1487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19" t="n"/>
      <c r="P1487" s="19" t="n"/>
    </row>
    <row r="1488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19" t="n"/>
      <c r="P1488" s="19" t="n"/>
    </row>
    <row r="148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19" t="n"/>
      <c r="P1489" s="19" t="n"/>
    </row>
    <row r="1490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19" t="n"/>
      <c r="P1490" s="19" t="n"/>
    </row>
    <row r="1491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19" t="n"/>
      <c r="P1491" s="19" t="n"/>
    </row>
    <row r="1492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19" t="n"/>
      <c r="P1492" s="19" t="n"/>
    </row>
    <row r="1493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19" t="n"/>
      <c r="P1493" s="19" t="n"/>
    </row>
    <row r="1494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19" t="n"/>
      <c r="P1494" s="19" t="n"/>
    </row>
    <row r="1495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19" t="n"/>
      <c r="P1495" s="19" t="n"/>
    </row>
    <row r="1496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19" t="n"/>
      <c r="P1496" s="19" t="n"/>
    </row>
    <row r="1497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19" t="n"/>
      <c r="P1497" s="19" t="n"/>
    </row>
    <row r="1498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19" t="n"/>
      <c r="P1498" s="19" t="n"/>
    </row>
    <row r="1499">
      <c r="A1499" s="19" t="n"/>
      <c r="B1499" s="19" t="n"/>
      <c r="C1499" s="19" t="n"/>
      <c r="D1499" s="19" t="n"/>
      <c r="E1499" s="19" t="n"/>
      <c r="F1499" s="19" t="n"/>
      <c r="G1499" s="19" t="n"/>
      <c r="H1499" s="19" t="n"/>
      <c r="I1499" s="19" t="n"/>
      <c r="J1499" s="19" t="n"/>
      <c r="K1499" s="19" t="n"/>
      <c r="L1499" s="19" t="n"/>
      <c r="M1499" s="19" t="n"/>
      <c r="N1499" s="19" t="n"/>
      <c r="O1499" s="19" t="n"/>
      <c r="P1499" s="19" t="n"/>
    </row>
    <row r="1500">
      <c r="A1500" s="19" t="n"/>
      <c r="B1500" s="19" t="n"/>
      <c r="C1500" s="19" t="n"/>
      <c r="D1500" s="19" t="n"/>
      <c r="E1500" s="19" t="n"/>
      <c r="F1500" s="19" t="n"/>
      <c r="G1500" s="19" t="n"/>
      <c r="H1500" s="19" t="n"/>
      <c r="I1500" s="19" t="n"/>
      <c r="J1500" s="19" t="n"/>
      <c r="K1500" s="19" t="n"/>
      <c r="L1500" s="19" t="n"/>
      <c r="M1500" s="19" t="n"/>
      <c r="N1500" s="19" t="n"/>
      <c r="O1500" s="19" t="n"/>
      <c r="P1500" s="19" t="n"/>
    </row>
    <row r="1501">
      <c r="A1501" s="19" t="n"/>
      <c r="B1501" s="19" t="n"/>
      <c r="C1501" s="19" t="n"/>
      <c r="D1501" s="19" t="n"/>
      <c r="E1501" s="19" t="n"/>
      <c r="F1501" s="19" t="n"/>
      <c r="G1501" s="19" t="n"/>
      <c r="H1501" s="19" t="n"/>
      <c r="I1501" s="19" t="n"/>
      <c r="J1501" s="19" t="n"/>
      <c r="K1501" s="19" t="n"/>
      <c r="L1501" s="19" t="n"/>
      <c r="M1501" s="19" t="n"/>
      <c r="N1501" s="19" t="n"/>
      <c r="O1501" s="19" t="n"/>
      <c r="P1501" s="19" t="n"/>
    </row>
    <row r="1502">
      <c r="A1502" s="19" t="n"/>
      <c r="B1502" s="19" t="n"/>
      <c r="C1502" s="19" t="n"/>
      <c r="D1502" s="19" t="n"/>
      <c r="E1502" s="19" t="n"/>
      <c r="F1502" s="19" t="n"/>
      <c r="G1502" s="19" t="n"/>
      <c r="H1502" s="19" t="n"/>
      <c r="I1502" s="19" t="n"/>
      <c r="J1502" s="19" t="n"/>
      <c r="K1502" s="19" t="n"/>
      <c r="L1502" s="19" t="n"/>
      <c r="M1502" s="19" t="n"/>
      <c r="N1502" s="19" t="n"/>
      <c r="O1502" s="19" t="n"/>
      <c r="P1502" s="19" t="n"/>
    </row>
    <row r="1503">
      <c r="A1503" s="19" t="n"/>
      <c r="B1503" s="19" t="n"/>
      <c r="C1503" s="19" t="n"/>
      <c r="D1503" s="19" t="n"/>
      <c r="E1503" s="19" t="n"/>
      <c r="F1503" s="19" t="n"/>
      <c r="G1503" s="19" t="n"/>
      <c r="H1503" s="19" t="n"/>
      <c r="I1503" s="19" t="n"/>
      <c r="J1503" s="19" t="n"/>
      <c r="K1503" s="19" t="n"/>
      <c r="L1503" s="19" t="n"/>
      <c r="M1503" s="19" t="n"/>
      <c r="N1503" s="19" t="n"/>
      <c r="O1503" s="19" t="n"/>
      <c r="P1503" s="19" t="n"/>
    </row>
    <row r="1504">
      <c r="A1504" s="19" t="n"/>
      <c r="B1504" s="19" t="n"/>
      <c r="C1504" s="19" t="n"/>
      <c r="D1504" s="19" t="n"/>
      <c r="E1504" s="19" t="n"/>
      <c r="F1504" s="19" t="n"/>
      <c r="G1504" s="19" t="n"/>
      <c r="H1504" s="19" t="n"/>
      <c r="I1504" s="19" t="n"/>
      <c r="J1504" s="19" t="n"/>
      <c r="K1504" s="19" t="n"/>
      <c r="L1504" s="19" t="n"/>
      <c r="M1504" s="19" t="n"/>
      <c r="N1504" s="19" t="n"/>
      <c r="O1504" s="19" t="n"/>
      <c r="P1504" s="19" t="n"/>
    </row>
    <row r="1505">
      <c r="A1505" s="19" t="n"/>
      <c r="B1505" s="19" t="n"/>
      <c r="C1505" s="19" t="n"/>
      <c r="D1505" s="19" t="n"/>
      <c r="E1505" s="19" t="n"/>
      <c r="F1505" s="19" t="n"/>
      <c r="G1505" s="19" t="n"/>
      <c r="H1505" s="19" t="n"/>
      <c r="I1505" s="19" t="n"/>
      <c r="J1505" s="19" t="n"/>
      <c r="K1505" s="19" t="n"/>
      <c r="L1505" s="19" t="n"/>
      <c r="M1505" s="19" t="n"/>
      <c r="N1505" s="19" t="n"/>
      <c r="O1505" s="19" t="n"/>
      <c r="P1505" s="19" t="n"/>
    </row>
    <row r="1506">
      <c r="A1506" s="19" t="n"/>
      <c r="B1506" s="19" t="n"/>
      <c r="C1506" s="19" t="n"/>
      <c r="D1506" s="19" t="n"/>
      <c r="E1506" s="19" t="n"/>
      <c r="F1506" s="19" t="n"/>
      <c r="G1506" s="19" t="n"/>
      <c r="H1506" s="19" t="n"/>
      <c r="I1506" s="19" t="n"/>
      <c r="J1506" s="19" t="n"/>
      <c r="K1506" s="19" t="n"/>
      <c r="L1506" s="19" t="n"/>
      <c r="M1506" s="19" t="n"/>
      <c r="N1506" s="19" t="n"/>
      <c r="O1506" s="19" t="n"/>
      <c r="P1506" s="19" t="n"/>
    </row>
    <row r="1507">
      <c r="A1507" s="19" t="n"/>
      <c r="B1507" s="19" t="n"/>
      <c r="C1507" s="19" t="n"/>
      <c r="D1507" s="19" t="n"/>
      <c r="E1507" s="19" t="n"/>
      <c r="F1507" s="19" t="n"/>
      <c r="G1507" s="19" t="n"/>
      <c r="H1507" s="19" t="n"/>
      <c r="I1507" s="19" t="n"/>
      <c r="J1507" s="19" t="n"/>
      <c r="K1507" s="19" t="n"/>
      <c r="L1507" s="19" t="n"/>
      <c r="M1507" s="19" t="n"/>
      <c r="N1507" s="19" t="n"/>
      <c r="O1507" s="19" t="n"/>
      <c r="P1507" s="19" t="n"/>
    </row>
    <row r="1508">
      <c r="A1508" s="19" t="n"/>
      <c r="B1508" s="19" t="n"/>
      <c r="C1508" s="19" t="n"/>
      <c r="D1508" s="19" t="n"/>
      <c r="E1508" s="19" t="n"/>
      <c r="F1508" s="19" t="n"/>
      <c r="G1508" s="19" t="n"/>
      <c r="H1508" s="19" t="n"/>
      <c r="I1508" s="19" t="n"/>
      <c r="J1508" s="19" t="n"/>
      <c r="K1508" s="19" t="n"/>
      <c r="L1508" s="19" t="n"/>
      <c r="M1508" s="19" t="n"/>
      <c r="N1508" s="19" t="n"/>
      <c r="O1508" s="19" t="n"/>
      <c r="P1508" s="19" t="n"/>
    </row>
    <row r="1509">
      <c r="A1509" s="19" t="n"/>
      <c r="B1509" s="19" t="n"/>
      <c r="C1509" s="19" t="n"/>
      <c r="D1509" s="19" t="n"/>
      <c r="E1509" s="19" t="n"/>
      <c r="F1509" s="19" t="n"/>
      <c r="G1509" s="19" t="n"/>
      <c r="H1509" s="19" t="n"/>
      <c r="I1509" s="19" t="n"/>
      <c r="J1509" s="19" t="n"/>
      <c r="K1509" s="19" t="n"/>
      <c r="L1509" s="19" t="n"/>
      <c r="M1509" s="19" t="n"/>
      <c r="N1509" s="19" t="n"/>
      <c r="O1509" s="19" t="n"/>
      <c r="P1509" s="19" t="n"/>
    </row>
    <row r="1510">
      <c r="A1510" s="19" t="n"/>
      <c r="B1510" s="19" t="n"/>
      <c r="C1510" s="19" t="n"/>
      <c r="D1510" s="19" t="n"/>
      <c r="E1510" s="19" t="n"/>
      <c r="F1510" s="19" t="n"/>
      <c r="G1510" s="19" t="n"/>
      <c r="H1510" s="19" t="n"/>
      <c r="I1510" s="19" t="n"/>
      <c r="J1510" s="19" t="n"/>
      <c r="K1510" s="19" t="n"/>
      <c r="L1510" s="19" t="n"/>
      <c r="M1510" s="19" t="n"/>
      <c r="N1510" s="19" t="n"/>
      <c r="O1510" s="19" t="n"/>
      <c r="P1510" s="19" t="n"/>
    </row>
    <row r="1511">
      <c r="A1511" s="19" t="n"/>
      <c r="B1511" s="19" t="n"/>
      <c r="C1511" s="19" t="n"/>
      <c r="D1511" s="19" t="n"/>
      <c r="E1511" s="19" t="n"/>
      <c r="F1511" s="19" t="n"/>
      <c r="G1511" s="19" t="n"/>
      <c r="H1511" s="19" t="n"/>
      <c r="I1511" s="19" t="n"/>
      <c r="J1511" s="19" t="n"/>
      <c r="K1511" s="19" t="n"/>
      <c r="L1511" s="19" t="n"/>
      <c r="M1511" s="19" t="n"/>
      <c r="N1511" s="19" t="n"/>
      <c r="O1511" s="19" t="n"/>
      <c r="P1511" s="19" t="n"/>
    </row>
    <row r="1512">
      <c r="A1512" s="19" t="n"/>
      <c r="B1512" s="19" t="n"/>
      <c r="C1512" s="19" t="n"/>
      <c r="D1512" s="19" t="n"/>
      <c r="E1512" s="19" t="n"/>
      <c r="F1512" s="19" t="n"/>
      <c r="G1512" s="19" t="n"/>
      <c r="H1512" s="19" t="n"/>
      <c r="I1512" s="19" t="n"/>
      <c r="J1512" s="19" t="n"/>
      <c r="K1512" s="19" t="n"/>
      <c r="L1512" s="19" t="n"/>
      <c r="M1512" s="19" t="n"/>
      <c r="N1512" s="19" t="n"/>
      <c r="O1512" s="19" t="n"/>
      <c r="P1512" s="19" t="n"/>
    </row>
    <row r="1513">
      <c r="A1513" s="19" t="n"/>
      <c r="B1513" s="19" t="n"/>
      <c r="C1513" s="19" t="n"/>
      <c r="D1513" s="19" t="n"/>
      <c r="E1513" s="19" t="n"/>
      <c r="F1513" s="19" t="n"/>
      <c r="G1513" s="19" t="n"/>
      <c r="H1513" s="19" t="n"/>
      <c r="I1513" s="19" t="n"/>
      <c r="J1513" s="19" t="n"/>
      <c r="K1513" s="19" t="n"/>
      <c r="L1513" s="19" t="n"/>
      <c r="M1513" s="19" t="n"/>
      <c r="N1513" s="19" t="n"/>
      <c r="O1513" s="19" t="n"/>
      <c r="P1513" s="19" t="n"/>
    </row>
    <row r="1514">
      <c r="A1514" s="19" t="n"/>
      <c r="B1514" s="19" t="n"/>
      <c r="C1514" s="19" t="n"/>
      <c r="D1514" s="19" t="n"/>
      <c r="E1514" s="19" t="n"/>
      <c r="F1514" s="19" t="n"/>
      <c r="G1514" s="19" t="n"/>
      <c r="H1514" s="19" t="n"/>
      <c r="I1514" s="19" t="n"/>
      <c r="J1514" s="19" t="n"/>
      <c r="K1514" s="19" t="n"/>
      <c r="L1514" s="19" t="n"/>
      <c r="M1514" s="19" t="n"/>
      <c r="N1514" s="19" t="n"/>
      <c r="O1514" s="19" t="n"/>
      <c r="P1514" s="19" t="n"/>
    </row>
    <row r="1515">
      <c r="A1515" s="19" t="n"/>
      <c r="B1515" s="19" t="n"/>
      <c r="C1515" s="19" t="n"/>
      <c r="D1515" s="19" t="n"/>
      <c r="E1515" s="19" t="n"/>
      <c r="F1515" s="19" t="n"/>
      <c r="G1515" s="19" t="n"/>
      <c r="H1515" s="19" t="n"/>
      <c r="I1515" s="19" t="n"/>
      <c r="J1515" s="19" t="n"/>
      <c r="K1515" s="19" t="n"/>
      <c r="L1515" s="19" t="n"/>
      <c r="M1515" s="19" t="n"/>
      <c r="N1515" s="19" t="n"/>
      <c r="O1515" s="19" t="n"/>
      <c r="P1515" s="19" t="n"/>
    </row>
    <row r="1516">
      <c r="A1516" s="19" t="n"/>
      <c r="B1516" s="19" t="n"/>
      <c r="C1516" s="19" t="n"/>
      <c r="D1516" s="19" t="n"/>
      <c r="E1516" s="19" t="n"/>
      <c r="F1516" s="19" t="n"/>
      <c r="G1516" s="19" t="n"/>
      <c r="H1516" s="19" t="n"/>
      <c r="I1516" s="19" t="n"/>
      <c r="J1516" s="19" t="n"/>
      <c r="K1516" s="19" t="n"/>
      <c r="L1516" s="19" t="n"/>
      <c r="M1516" s="19" t="n"/>
      <c r="N1516" s="19" t="n"/>
      <c r="O1516" s="19" t="n"/>
      <c r="P1516" s="19" t="n"/>
    </row>
    <row r="1517">
      <c r="A1517" s="19" t="n"/>
      <c r="B1517" s="19" t="n"/>
      <c r="C1517" s="19" t="n"/>
      <c r="D1517" s="19" t="n"/>
      <c r="E1517" s="19" t="n"/>
      <c r="F1517" s="19" t="n"/>
      <c r="G1517" s="19" t="n"/>
      <c r="H1517" s="19" t="n"/>
      <c r="I1517" s="19" t="n"/>
      <c r="J1517" s="19" t="n"/>
      <c r="K1517" s="19" t="n"/>
      <c r="L1517" s="19" t="n"/>
      <c r="M1517" s="19" t="n"/>
      <c r="N1517" s="19" t="n"/>
      <c r="O1517" s="19" t="n"/>
      <c r="P1517" s="19" t="n"/>
    </row>
    <row r="1518">
      <c r="A1518" s="19" t="n"/>
      <c r="B1518" s="19" t="n"/>
      <c r="C1518" s="19" t="n"/>
      <c r="D1518" s="19" t="n"/>
      <c r="E1518" s="19" t="n"/>
      <c r="F1518" s="19" t="n"/>
      <c r="G1518" s="19" t="n"/>
      <c r="H1518" s="19" t="n"/>
      <c r="I1518" s="19" t="n"/>
      <c r="J1518" s="19" t="n"/>
      <c r="K1518" s="19" t="n"/>
      <c r="L1518" s="19" t="n"/>
      <c r="M1518" s="19" t="n"/>
      <c r="N1518" s="19" t="n"/>
      <c r="O1518" s="19" t="n"/>
      <c r="P1518" s="19" t="n"/>
    </row>
    <row r="1519">
      <c r="A1519" s="19" t="n"/>
      <c r="B1519" s="19" t="n"/>
      <c r="C1519" s="19" t="n"/>
      <c r="D1519" s="19" t="n"/>
      <c r="E1519" s="19" t="n"/>
      <c r="F1519" s="19" t="n"/>
      <c r="G1519" s="19" t="n"/>
      <c r="H1519" s="19" t="n"/>
      <c r="I1519" s="19" t="n"/>
      <c r="J1519" s="19" t="n"/>
      <c r="K1519" s="19" t="n"/>
      <c r="L1519" s="19" t="n"/>
      <c r="M1519" s="19" t="n"/>
      <c r="N1519" s="19" t="n"/>
      <c r="O1519" s="19" t="n"/>
      <c r="P1519" s="19" t="n"/>
    </row>
    <row r="1520">
      <c r="A1520" s="19" t="n"/>
      <c r="B1520" s="19" t="n"/>
      <c r="C1520" s="19" t="n"/>
      <c r="D1520" s="19" t="n"/>
      <c r="E1520" s="19" t="n"/>
      <c r="F1520" s="19" t="n"/>
      <c r="G1520" s="19" t="n"/>
      <c r="H1520" s="19" t="n"/>
      <c r="I1520" s="19" t="n"/>
      <c r="J1520" s="19" t="n"/>
      <c r="K1520" s="19" t="n"/>
      <c r="L1520" s="19" t="n"/>
      <c r="M1520" s="19" t="n"/>
      <c r="N1520" s="19" t="n"/>
      <c r="O1520" s="19" t="n"/>
      <c r="P1520" s="19" t="n"/>
    </row>
    <row r="1521">
      <c r="A1521" s="19" t="n"/>
      <c r="B1521" s="19" t="n"/>
      <c r="C1521" s="19" t="n"/>
      <c r="D1521" s="19" t="n"/>
      <c r="E1521" s="19" t="n"/>
      <c r="F1521" s="19" t="n"/>
      <c r="G1521" s="19" t="n"/>
      <c r="H1521" s="19" t="n"/>
      <c r="I1521" s="19" t="n"/>
      <c r="J1521" s="19" t="n"/>
      <c r="K1521" s="19" t="n"/>
      <c r="L1521" s="19" t="n"/>
      <c r="M1521" s="19" t="n"/>
      <c r="N1521" s="19" t="n"/>
      <c r="O1521" s="19" t="n"/>
      <c r="P1521" s="19" t="n"/>
    </row>
    <row r="1522">
      <c r="A1522" s="19" t="n"/>
      <c r="B1522" s="19" t="n"/>
      <c r="C1522" s="19" t="n"/>
      <c r="D1522" s="19" t="n"/>
      <c r="E1522" s="19" t="n"/>
      <c r="F1522" s="19" t="n"/>
      <c r="G1522" s="19" t="n"/>
      <c r="H1522" s="19" t="n"/>
      <c r="I1522" s="19" t="n"/>
      <c r="J1522" s="19" t="n"/>
      <c r="K1522" s="19" t="n"/>
      <c r="L1522" s="19" t="n"/>
      <c r="M1522" s="19" t="n"/>
      <c r="N1522" s="19" t="n"/>
      <c r="O1522" s="19" t="n"/>
      <c r="P1522" s="19" t="n"/>
    </row>
    <row r="1523">
      <c r="A1523" s="19" t="n"/>
      <c r="B1523" s="19" t="n"/>
      <c r="C1523" s="19" t="n"/>
      <c r="D1523" s="19" t="n"/>
      <c r="E1523" s="19" t="n"/>
      <c r="F1523" s="19" t="n"/>
      <c r="G1523" s="19" t="n"/>
      <c r="H1523" s="19" t="n"/>
      <c r="I1523" s="19" t="n"/>
      <c r="J1523" s="19" t="n"/>
      <c r="K1523" s="19" t="n"/>
      <c r="L1523" s="19" t="n"/>
      <c r="M1523" s="19" t="n"/>
      <c r="N1523" s="19" t="n"/>
      <c r="O1523" s="19" t="n"/>
      <c r="P1523" s="19" t="n"/>
    </row>
    <row r="1524">
      <c r="A1524" s="19" t="n"/>
      <c r="B1524" s="19" t="n"/>
      <c r="C1524" s="19" t="n"/>
      <c r="D1524" s="19" t="n"/>
      <c r="E1524" s="19" t="n"/>
      <c r="F1524" s="19" t="n"/>
      <c r="G1524" s="19" t="n"/>
      <c r="H1524" s="19" t="n"/>
      <c r="I1524" s="19" t="n"/>
      <c r="J1524" s="19" t="n"/>
      <c r="K1524" s="19" t="n"/>
      <c r="L1524" s="19" t="n"/>
      <c r="M1524" s="19" t="n"/>
      <c r="N1524" s="19" t="n"/>
      <c r="O1524" s="19" t="n"/>
      <c r="P1524" s="19" t="n"/>
    </row>
    <row r="1525">
      <c r="A1525" s="19" t="n"/>
      <c r="B1525" s="19" t="n"/>
      <c r="C1525" s="19" t="n"/>
      <c r="D1525" s="19" t="n"/>
      <c r="E1525" s="19" t="n"/>
      <c r="F1525" s="19" t="n"/>
      <c r="G1525" s="19" t="n"/>
      <c r="H1525" s="19" t="n"/>
      <c r="I1525" s="19" t="n"/>
      <c r="J1525" s="19" t="n"/>
      <c r="K1525" s="19" t="n"/>
      <c r="L1525" s="19" t="n"/>
      <c r="M1525" s="19" t="n"/>
      <c r="N1525" s="19" t="n"/>
      <c r="O1525" s="19" t="n"/>
      <c r="P1525" s="19" t="n"/>
    </row>
    <row r="1526">
      <c r="A1526" s="19" t="n"/>
      <c r="B1526" s="19" t="n"/>
      <c r="C1526" s="19" t="n"/>
      <c r="D1526" s="19" t="n"/>
      <c r="E1526" s="19" t="n"/>
      <c r="F1526" s="19" t="n"/>
      <c r="G1526" s="19" t="n"/>
      <c r="H1526" s="19" t="n"/>
      <c r="I1526" s="19" t="n"/>
      <c r="J1526" s="19" t="n"/>
      <c r="K1526" s="19" t="n"/>
      <c r="L1526" s="19" t="n"/>
      <c r="M1526" s="19" t="n"/>
      <c r="N1526" s="19" t="n"/>
      <c r="O1526" s="19" t="n"/>
      <c r="P1526" s="19" t="n"/>
    </row>
    <row r="1527">
      <c r="A1527" s="19" t="n"/>
      <c r="B1527" s="19" t="n"/>
      <c r="C1527" s="19" t="n"/>
      <c r="D1527" s="19" t="n"/>
      <c r="E1527" s="19" t="n"/>
      <c r="F1527" s="19" t="n"/>
      <c r="G1527" s="19" t="n"/>
      <c r="H1527" s="19" t="n"/>
      <c r="I1527" s="19" t="n"/>
      <c r="J1527" s="19" t="n"/>
      <c r="K1527" s="19" t="n"/>
      <c r="L1527" s="19" t="n"/>
      <c r="M1527" s="19" t="n"/>
      <c r="N1527" s="19" t="n"/>
      <c r="O1527" s="19" t="n"/>
      <c r="P1527" s="19" t="n"/>
    </row>
    <row r="1528">
      <c r="A1528" s="19" t="n"/>
      <c r="B1528" s="19" t="n"/>
      <c r="C1528" s="19" t="n"/>
      <c r="D1528" s="19" t="n"/>
      <c r="E1528" s="19" t="n"/>
      <c r="F1528" s="19" t="n"/>
      <c r="G1528" s="19" t="n"/>
      <c r="H1528" s="19" t="n"/>
      <c r="I1528" s="19" t="n"/>
      <c r="J1528" s="19" t="n"/>
      <c r="K1528" s="19" t="n"/>
      <c r="L1528" s="19" t="n"/>
      <c r="M1528" s="19" t="n"/>
      <c r="N1528" s="19" t="n"/>
      <c r="O1528" s="19" t="n"/>
      <c r="P1528" s="19" t="n"/>
    </row>
    <row r="1529">
      <c r="A1529" s="19" t="n"/>
      <c r="B1529" s="19" t="n"/>
      <c r="C1529" s="19" t="n"/>
      <c r="D1529" s="19" t="n"/>
      <c r="E1529" s="19" t="n"/>
      <c r="F1529" s="19" t="n"/>
      <c r="G1529" s="19" t="n"/>
      <c r="H1529" s="19" t="n"/>
      <c r="I1529" s="19" t="n"/>
      <c r="J1529" s="19" t="n"/>
      <c r="K1529" s="19" t="n"/>
      <c r="L1529" s="19" t="n"/>
      <c r="M1529" s="19" t="n"/>
      <c r="N1529" s="19" t="n"/>
      <c r="O1529" s="19" t="n"/>
      <c r="P1529" s="19" t="n"/>
    </row>
    <row r="1530">
      <c r="A1530" s="19" t="n"/>
      <c r="B1530" s="19" t="n"/>
      <c r="C1530" s="19" t="n"/>
      <c r="D1530" s="19" t="n"/>
      <c r="E1530" s="19" t="n"/>
      <c r="F1530" s="19" t="n"/>
      <c r="G1530" s="19" t="n"/>
      <c r="H1530" s="19" t="n"/>
      <c r="I1530" s="19" t="n"/>
      <c r="J1530" s="19" t="n"/>
      <c r="K1530" s="19" t="n"/>
      <c r="L1530" s="19" t="n"/>
      <c r="M1530" s="19" t="n"/>
      <c r="N1530" s="19" t="n"/>
      <c r="O1530" s="19" t="n"/>
      <c r="P1530" s="19" t="n"/>
    </row>
    <row r="1531">
      <c r="A1531" s="19" t="n"/>
      <c r="B1531" s="19" t="n"/>
      <c r="C1531" s="19" t="n"/>
      <c r="D1531" s="19" t="n"/>
      <c r="E1531" s="19" t="n"/>
      <c r="F1531" s="19" t="n"/>
      <c r="G1531" s="19" t="n"/>
      <c r="H1531" s="19" t="n"/>
      <c r="I1531" s="19" t="n"/>
      <c r="J1531" s="19" t="n"/>
      <c r="K1531" s="19" t="n"/>
      <c r="L1531" s="19" t="n"/>
      <c r="M1531" s="19" t="n"/>
      <c r="N1531" s="19" t="n"/>
      <c r="O1531" s="19" t="n"/>
      <c r="P1531" s="19" t="n"/>
    </row>
    <row r="1532">
      <c r="A1532" s="19" t="n"/>
      <c r="B1532" s="19" t="n"/>
      <c r="C1532" s="19" t="n"/>
      <c r="D1532" s="19" t="n"/>
      <c r="E1532" s="19" t="n"/>
      <c r="F1532" s="19" t="n"/>
      <c r="G1532" s="19" t="n"/>
      <c r="H1532" s="19" t="n"/>
      <c r="I1532" s="19" t="n"/>
      <c r="J1532" s="19" t="n"/>
      <c r="K1532" s="19" t="n"/>
      <c r="L1532" s="19" t="n"/>
      <c r="M1532" s="19" t="n"/>
      <c r="N1532" s="19" t="n"/>
      <c r="O1532" s="19" t="n"/>
      <c r="P1532" s="19" t="n"/>
    </row>
    <row r="1533">
      <c r="A1533" s="19" t="n"/>
      <c r="B1533" s="19" t="n"/>
      <c r="C1533" s="19" t="n"/>
      <c r="D1533" s="19" t="n"/>
      <c r="E1533" s="19" t="n"/>
      <c r="F1533" s="19" t="n"/>
      <c r="G1533" s="19" t="n"/>
      <c r="H1533" s="19" t="n"/>
      <c r="I1533" s="19" t="n"/>
      <c r="J1533" s="19" t="n"/>
      <c r="K1533" s="19" t="n"/>
      <c r="L1533" s="19" t="n"/>
      <c r="M1533" s="19" t="n"/>
      <c r="N1533" s="19" t="n"/>
      <c r="O1533" s="19" t="n"/>
      <c r="P1533" s="19" t="n"/>
    </row>
    <row r="1534">
      <c r="A1534" s="19" t="n"/>
      <c r="B1534" s="19" t="n"/>
      <c r="C1534" s="19" t="n"/>
      <c r="D1534" s="19" t="n"/>
      <c r="E1534" s="19" t="n"/>
      <c r="F1534" s="19" t="n"/>
      <c r="G1534" s="19" t="n"/>
      <c r="H1534" s="19" t="n"/>
      <c r="I1534" s="19" t="n"/>
      <c r="J1534" s="19" t="n"/>
      <c r="K1534" s="19" t="n"/>
      <c r="L1534" s="19" t="n"/>
      <c r="M1534" s="19" t="n"/>
      <c r="N1534" s="19" t="n"/>
      <c r="O1534" s="19" t="n"/>
      <c r="P1534" s="19" t="n"/>
    </row>
    <row r="1535">
      <c r="A1535" s="19" t="n"/>
      <c r="B1535" s="19" t="n"/>
      <c r="C1535" s="19" t="n"/>
      <c r="D1535" s="19" t="n"/>
      <c r="E1535" s="19" t="n"/>
      <c r="F1535" s="19" t="n"/>
      <c r="G1535" s="19" t="n"/>
      <c r="H1535" s="19" t="n"/>
      <c r="I1535" s="19" t="n"/>
      <c r="J1535" s="19" t="n"/>
      <c r="K1535" s="19" t="n"/>
      <c r="L1535" s="19" t="n"/>
      <c r="M1535" s="19" t="n"/>
      <c r="N1535" s="19" t="n"/>
      <c r="O1535" s="19" t="n"/>
      <c r="P1535" s="19" t="n"/>
    </row>
    <row r="1536">
      <c r="A1536" s="19" t="n"/>
      <c r="B1536" s="19" t="n"/>
      <c r="C1536" s="19" t="n"/>
      <c r="D1536" s="19" t="n"/>
      <c r="E1536" s="19" t="n"/>
      <c r="F1536" s="19" t="n"/>
      <c r="G1536" s="19" t="n"/>
      <c r="H1536" s="19" t="n"/>
      <c r="I1536" s="19" t="n"/>
      <c r="J1536" s="19" t="n"/>
      <c r="K1536" s="19" t="n"/>
      <c r="L1536" s="19" t="n"/>
      <c r="M1536" s="19" t="n"/>
      <c r="N1536" s="19" t="n"/>
      <c r="O1536" s="19" t="n"/>
      <c r="P1536" s="19" t="n"/>
    </row>
    <row r="1537">
      <c r="A1537" s="19" t="n"/>
      <c r="B1537" s="19" t="n"/>
      <c r="C1537" s="19" t="n"/>
      <c r="D1537" s="19" t="n"/>
      <c r="E1537" s="19" t="n"/>
      <c r="F1537" s="19" t="n"/>
      <c r="G1537" s="19" t="n"/>
      <c r="H1537" s="19" t="n"/>
      <c r="I1537" s="19" t="n"/>
      <c r="J1537" s="19" t="n"/>
      <c r="K1537" s="19" t="n"/>
      <c r="L1537" s="19" t="n"/>
      <c r="M1537" s="19" t="n"/>
      <c r="N1537" s="19" t="n"/>
      <c r="O1537" s="19" t="n"/>
      <c r="P1537" s="19" t="n"/>
    </row>
    <row r="1538">
      <c r="A1538" s="19" t="n"/>
      <c r="B1538" s="19" t="n"/>
      <c r="C1538" s="19" t="n"/>
      <c r="D1538" s="19" t="n"/>
      <c r="E1538" s="19" t="n"/>
      <c r="F1538" s="19" t="n"/>
      <c r="G1538" s="19" t="n"/>
      <c r="H1538" s="19" t="n"/>
      <c r="I1538" s="19" t="n"/>
      <c r="J1538" s="19" t="n"/>
      <c r="K1538" s="19" t="n"/>
      <c r="L1538" s="19" t="n"/>
      <c r="M1538" s="19" t="n"/>
      <c r="N1538" s="19" t="n"/>
      <c r="O1538" s="19" t="n"/>
      <c r="P1538" s="19" t="n"/>
    </row>
    <row r="1539">
      <c r="A1539" s="19" t="n"/>
      <c r="B1539" s="19" t="n"/>
      <c r="C1539" s="19" t="n"/>
      <c r="D1539" s="19" t="n"/>
      <c r="E1539" s="19" t="n"/>
      <c r="F1539" s="19" t="n"/>
      <c r="G1539" s="19" t="n"/>
      <c r="H1539" s="19" t="n"/>
      <c r="I1539" s="19" t="n"/>
      <c r="J1539" s="19" t="n"/>
      <c r="K1539" s="19" t="n"/>
      <c r="L1539" s="19" t="n"/>
      <c r="M1539" s="19" t="n"/>
      <c r="N1539" s="19" t="n"/>
      <c r="O1539" s="19" t="n"/>
      <c r="P1539" s="19" t="n"/>
    </row>
    <row r="1540">
      <c r="A1540" s="19" t="n"/>
      <c r="B1540" s="19" t="n"/>
      <c r="C1540" s="19" t="n"/>
      <c r="D1540" s="19" t="n"/>
      <c r="E1540" s="19" t="n"/>
      <c r="F1540" s="19" t="n"/>
      <c r="G1540" s="19" t="n"/>
      <c r="H1540" s="19" t="n"/>
      <c r="I1540" s="19" t="n"/>
      <c r="J1540" s="19" t="n"/>
      <c r="K1540" s="19" t="n"/>
      <c r="L1540" s="19" t="n"/>
      <c r="M1540" s="19" t="n"/>
      <c r="N1540" s="19" t="n"/>
      <c r="O1540" s="19" t="n"/>
      <c r="P1540" s="19" t="n"/>
    </row>
    <row r="1541">
      <c r="A1541" s="19" t="n"/>
      <c r="B1541" s="19" t="n"/>
      <c r="C1541" s="19" t="n"/>
      <c r="D1541" s="19" t="n"/>
      <c r="E1541" s="19" t="n"/>
      <c r="F1541" s="19" t="n"/>
      <c r="G1541" s="19" t="n"/>
      <c r="H1541" s="19" t="n"/>
      <c r="I1541" s="19" t="n"/>
      <c r="J1541" s="19" t="n"/>
      <c r="K1541" s="19" t="n"/>
      <c r="L1541" s="19" t="n"/>
      <c r="M1541" s="19" t="n"/>
      <c r="N1541" s="19" t="n"/>
      <c r="O1541" s="19" t="n"/>
      <c r="P1541" s="19" t="n"/>
    </row>
    <row r="1542">
      <c r="A1542" s="19" t="n"/>
      <c r="B1542" s="19" t="n"/>
      <c r="C1542" s="19" t="n"/>
      <c r="D1542" s="19" t="n"/>
      <c r="E1542" s="19" t="n"/>
      <c r="F1542" s="19" t="n"/>
      <c r="G1542" s="19" t="n"/>
      <c r="H1542" s="19" t="n"/>
      <c r="I1542" s="19" t="n"/>
      <c r="J1542" s="19" t="n"/>
      <c r="K1542" s="19" t="n"/>
      <c r="L1542" s="19" t="n"/>
      <c r="M1542" s="19" t="n"/>
      <c r="N1542" s="19" t="n"/>
      <c r="O1542" s="19" t="n"/>
      <c r="P1542" s="19" t="n"/>
    </row>
    <row r="1543">
      <c r="A1543" s="19" t="n"/>
      <c r="B1543" s="19" t="n"/>
      <c r="C1543" s="19" t="n"/>
      <c r="D1543" s="19" t="n"/>
      <c r="E1543" s="19" t="n"/>
      <c r="F1543" s="19" t="n"/>
      <c r="G1543" s="19" t="n"/>
      <c r="H1543" s="19" t="n"/>
      <c r="I1543" s="19" t="n"/>
      <c r="J1543" s="19" t="n"/>
      <c r="K1543" s="19" t="n"/>
      <c r="L1543" s="19" t="n"/>
      <c r="M1543" s="19" t="n"/>
      <c r="N1543" s="19" t="n"/>
      <c r="O1543" s="19" t="n"/>
      <c r="P1543" s="19" t="n"/>
    </row>
    <row r="1544">
      <c r="A1544" s="19" t="n"/>
      <c r="B1544" s="19" t="n"/>
      <c r="C1544" s="19" t="n"/>
      <c r="D1544" s="19" t="n"/>
      <c r="E1544" s="19" t="n"/>
      <c r="F1544" s="19" t="n"/>
      <c r="G1544" s="19" t="n"/>
      <c r="H1544" s="19" t="n"/>
      <c r="I1544" s="19" t="n"/>
      <c r="J1544" s="19" t="n"/>
      <c r="K1544" s="19" t="n"/>
      <c r="L1544" s="19" t="n"/>
      <c r="M1544" s="19" t="n"/>
      <c r="N1544" s="19" t="n"/>
      <c r="O1544" s="19" t="n"/>
      <c r="P1544" s="19" t="n"/>
    </row>
    <row r="1545">
      <c r="A1545" s="19" t="n"/>
      <c r="B1545" s="19" t="n"/>
      <c r="C1545" s="19" t="n"/>
      <c r="D1545" s="19" t="n"/>
      <c r="E1545" s="19" t="n"/>
      <c r="F1545" s="19" t="n"/>
      <c r="G1545" s="19" t="n"/>
      <c r="H1545" s="19" t="n"/>
      <c r="I1545" s="19" t="n"/>
      <c r="J1545" s="19" t="n"/>
      <c r="K1545" s="19" t="n"/>
      <c r="L1545" s="19" t="n"/>
      <c r="M1545" s="19" t="n"/>
      <c r="N1545" s="19" t="n"/>
      <c r="O1545" s="19" t="n"/>
      <c r="P1545" s="19" t="n"/>
    </row>
    <row r="1546">
      <c r="A1546" s="19" t="n"/>
      <c r="B1546" s="19" t="n"/>
      <c r="C1546" s="19" t="n"/>
      <c r="D1546" s="19" t="n"/>
      <c r="E1546" s="19" t="n"/>
      <c r="F1546" s="19" t="n"/>
      <c r="G1546" s="19" t="n"/>
      <c r="H1546" s="19" t="n"/>
      <c r="I1546" s="19" t="n"/>
      <c r="J1546" s="19" t="n"/>
      <c r="K1546" s="19" t="n"/>
      <c r="L1546" s="19" t="n"/>
      <c r="M1546" s="19" t="n"/>
      <c r="N1546" s="19" t="n"/>
      <c r="O1546" s="19" t="n"/>
      <c r="P1546" s="19" t="n"/>
    </row>
    <row r="1547">
      <c r="A1547" s="19" t="n"/>
      <c r="B1547" s="19" t="n"/>
      <c r="C1547" s="19" t="n"/>
      <c r="D1547" s="19" t="n"/>
      <c r="E1547" s="19" t="n"/>
      <c r="F1547" s="19" t="n"/>
      <c r="G1547" s="19" t="n"/>
      <c r="H1547" s="19" t="n"/>
      <c r="I1547" s="19" t="n"/>
      <c r="J1547" s="19" t="n"/>
      <c r="K1547" s="19" t="n"/>
      <c r="L1547" s="19" t="n"/>
      <c r="M1547" s="19" t="n"/>
      <c r="N1547" s="19" t="n"/>
      <c r="O1547" s="19" t="n"/>
      <c r="P1547" s="19" t="n"/>
    </row>
    <row r="1548">
      <c r="A1548" s="19" t="n"/>
      <c r="B1548" s="19" t="n"/>
      <c r="C1548" s="19" t="n"/>
      <c r="D1548" s="19" t="n"/>
      <c r="E1548" s="19" t="n"/>
      <c r="F1548" s="19" t="n"/>
      <c r="G1548" s="19" t="n"/>
      <c r="H1548" s="19" t="n"/>
      <c r="I1548" s="19" t="n"/>
      <c r="J1548" s="19" t="n"/>
      <c r="K1548" s="19" t="n"/>
      <c r="L1548" s="19" t="n"/>
      <c r="M1548" s="19" t="n"/>
      <c r="N1548" s="19" t="n"/>
      <c r="O1548" s="19" t="n"/>
      <c r="P1548" s="19" t="n"/>
    </row>
    <row r="1549">
      <c r="A1549" s="19" t="n"/>
      <c r="B1549" s="19" t="n"/>
      <c r="C1549" s="19" t="n"/>
      <c r="D1549" s="19" t="n"/>
      <c r="E1549" s="19" t="n"/>
      <c r="F1549" s="19" t="n"/>
      <c r="G1549" s="19" t="n"/>
      <c r="H1549" s="19" t="n"/>
      <c r="I1549" s="19" t="n"/>
      <c r="J1549" s="19" t="n"/>
      <c r="K1549" s="19" t="n"/>
      <c r="L1549" s="19" t="n"/>
      <c r="M1549" s="19" t="n"/>
      <c r="N1549" s="19" t="n"/>
      <c r="O1549" s="19" t="n"/>
      <c r="P1549" s="19" t="n"/>
    </row>
    <row r="1550">
      <c r="A1550" s="19" t="n"/>
      <c r="B1550" s="19" t="n"/>
      <c r="C1550" s="19" t="n"/>
      <c r="D1550" s="19" t="n"/>
      <c r="E1550" s="19" t="n"/>
      <c r="F1550" s="19" t="n"/>
      <c r="G1550" s="19" t="n"/>
      <c r="H1550" s="19" t="n"/>
      <c r="I1550" s="19" t="n"/>
      <c r="J1550" s="19" t="n"/>
      <c r="K1550" s="19" t="n"/>
      <c r="L1550" s="19" t="n"/>
      <c r="M1550" s="19" t="n"/>
      <c r="N1550" s="19" t="n"/>
      <c r="O1550" s="19" t="n"/>
      <c r="P1550" s="19" t="n"/>
    </row>
    <row r="1551">
      <c r="A1551" s="19" t="n"/>
      <c r="B1551" s="19" t="n"/>
      <c r="C1551" s="19" t="n"/>
      <c r="D1551" s="19" t="n"/>
      <c r="E1551" s="19" t="n"/>
      <c r="F1551" s="19" t="n"/>
      <c r="G1551" s="19" t="n"/>
      <c r="H1551" s="19" t="n"/>
      <c r="I1551" s="19" t="n"/>
      <c r="J1551" s="19" t="n"/>
      <c r="K1551" s="19" t="n"/>
      <c r="L1551" s="19" t="n"/>
      <c r="M1551" s="19" t="n"/>
      <c r="N1551" s="19" t="n"/>
      <c r="O1551" s="19" t="n"/>
      <c r="P1551" s="19" t="n"/>
    </row>
    <row r="1552">
      <c r="A1552" s="19" t="n"/>
      <c r="B1552" s="19" t="n"/>
      <c r="C1552" s="19" t="n"/>
      <c r="D1552" s="19" t="n"/>
      <c r="E1552" s="19" t="n"/>
      <c r="F1552" s="19" t="n"/>
      <c r="G1552" s="19" t="n"/>
      <c r="H1552" s="19" t="n"/>
      <c r="I1552" s="19" t="n"/>
      <c r="J1552" s="19" t="n"/>
      <c r="K1552" s="19" t="n"/>
      <c r="L1552" s="19" t="n"/>
      <c r="M1552" s="19" t="n"/>
      <c r="N1552" s="19" t="n"/>
      <c r="O1552" s="19" t="n"/>
      <c r="P1552" s="19" t="n"/>
    </row>
    <row r="1553">
      <c r="A1553" s="19" t="n"/>
      <c r="B1553" s="19" t="n"/>
      <c r="C1553" s="19" t="n"/>
      <c r="D1553" s="19" t="n"/>
      <c r="E1553" s="19" t="n"/>
      <c r="F1553" s="19" t="n"/>
      <c r="G1553" s="19" t="n"/>
      <c r="H1553" s="19" t="n"/>
      <c r="I1553" s="19" t="n"/>
      <c r="J1553" s="19" t="n"/>
      <c r="K1553" s="19" t="n"/>
      <c r="L1553" s="19" t="n"/>
      <c r="M1553" s="19" t="n"/>
      <c r="N1553" s="19" t="n"/>
      <c r="O1553" s="19" t="n"/>
      <c r="P1553" s="19" t="n"/>
    </row>
    <row r="1554">
      <c r="A1554" s="19" t="n"/>
      <c r="B1554" s="19" t="n"/>
      <c r="C1554" s="19" t="n"/>
      <c r="D1554" s="19" t="n"/>
      <c r="E1554" s="19" t="n"/>
      <c r="F1554" s="19" t="n"/>
      <c r="G1554" s="19" t="n"/>
      <c r="H1554" s="19" t="n"/>
      <c r="I1554" s="19" t="n"/>
      <c r="J1554" s="19" t="n"/>
      <c r="K1554" s="19" t="n"/>
      <c r="L1554" s="19" t="n"/>
      <c r="M1554" s="19" t="n"/>
      <c r="N1554" s="19" t="n"/>
      <c r="O1554" s="19" t="n"/>
      <c r="P1554" s="19" t="n"/>
    </row>
    <row r="1555">
      <c r="A1555" s="19" t="n"/>
      <c r="B1555" s="19" t="n"/>
      <c r="C1555" s="19" t="n"/>
      <c r="D1555" s="19" t="n"/>
      <c r="E1555" s="19" t="n"/>
      <c r="F1555" s="19" t="n"/>
      <c r="G1555" s="19" t="n"/>
      <c r="H1555" s="19" t="n"/>
      <c r="I1555" s="19" t="n"/>
      <c r="J1555" s="19" t="n"/>
      <c r="K1555" s="19" t="n"/>
      <c r="L1555" s="19" t="n"/>
      <c r="M1555" s="19" t="n"/>
      <c r="N1555" s="19" t="n"/>
      <c r="O1555" s="19" t="n"/>
      <c r="P1555" s="19" t="n"/>
    </row>
    <row r="1556">
      <c r="A1556" s="19" t="n"/>
      <c r="B1556" s="19" t="n"/>
      <c r="C1556" s="19" t="n"/>
      <c r="D1556" s="19" t="n"/>
      <c r="E1556" s="19" t="n"/>
      <c r="F1556" s="19" t="n"/>
      <c r="G1556" s="19" t="n"/>
      <c r="H1556" s="19" t="n"/>
      <c r="I1556" s="19" t="n"/>
      <c r="J1556" s="19" t="n"/>
      <c r="K1556" s="19" t="n"/>
      <c r="L1556" s="19" t="n"/>
      <c r="M1556" s="19" t="n"/>
      <c r="N1556" s="19" t="n"/>
      <c r="O1556" s="19" t="n"/>
      <c r="P1556" s="19" t="n"/>
    </row>
    <row r="1557">
      <c r="A1557" s="19" t="n"/>
      <c r="B1557" s="19" t="n"/>
      <c r="C1557" s="19" t="n"/>
      <c r="D1557" s="19" t="n"/>
      <c r="E1557" s="19" t="n"/>
      <c r="F1557" s="19" t="n"/>
      <c r="G1557" s="19" t="n"/>
      <c r="H1557" s="19" t="n"/>
      <c r="I1557" s="19" t="n"/>
      <c r="J1557" s="19" t="n"/>
      <c r="K1557" s="19" t="n"/>
      <c r="L1557" s="19" t="n"/>
      <c r="M1557" s="19" t="n"/>
      <c r="N1557" s="19" t="n"/>
      <c r="O1557" s="19" t="n"/>
      <c r="P1557" s="19" t="n"/>
    </row>
    <row r="1558">
      <c r="A1558" s="19" t="n"/>
      <c r="B1558" s="19" t="n"/>
      <c r="C1558" s="19" t="n"/>
      <c r="D1558" s="19" t="n"/>
      <c r="E1558" s="19" t="n"/>
      <c r="F1558" s="19" t="n"/>
      <c r="G1558" s="19" t="n"/>
      <c r="H1558" s="19" t="n"/>
      <c r="I1558" s="19" t="n"/>
      <c r="J1558" s="19" t="n"/>
      <c r="K1558" s="19" t="n"/>
      <c r="L1558" s="19" t="n"/>
      <c r="M1558" s="19" t="n"/>
      <c r="N1558" s="19" t="n"/>
      <c r="O1558" s="19" t="n"/>
      <c r="P1558" s="19" t="n"/>
    </row>
    <row r="1559">
      <c r="A1559" s="19" t="n"/>
      <c r="B1559" s="19" t="n"/>
      <c r="C1559" s="19" t="n"/>
      <c r="D1559" s="19" t="n"/>
      <c r="E1559" s="19" t="n"/>
      <c r="F1559" s="19" t="n"/>
      <c r="G1559" s="19" t="n"/>
      <c r="H1559" s="19" t="n"/>
      <c r="I1559" s="19" t="n"/>
      <c r="J1559" s="19" t="n"/>
      <c r="K1559" s="19" t="n"/>
      <c r="L1559" s="19" t="n"/>
      <c r="M1559" s="19" t="n"/>
      <c r="N1559" s="19" t="n"/>
      <c r="O1559" s="19" t="n"/>
      <c r="P1559" s="19" t="n"/>
    </row>
    <row r="1560">
      <c r="A1560" s="19" t="n"/>
      <c r="B1560" s="19" t="n"/>
      <c r="C1560" s="19" t="n"/>
      <c r="D1560" s="19" t="n"/>
      <c r="E1560" s="19" t="n"/>
      <c r="F1560" s="19" t="n"/>
      <c r="G1560" s="19" t="n"/>
      <c r="H1560" s="19" t="n"/>
      <c r="I1560" s="19" t="n"/>
      <c r="J1560" s="19" t="n"/>
      <c r="K1560" s="19" t="n"/>
      <c r="L1560" s="19" t="n"/>
      <c r="M1560" s="19" t="n"/>
      <c r="N1560" s="19" t="n"/>
      <c r="O1560" s="19" t="n"/>
      <c r="P1560" s="19" t="n"/>
    </row>
    <row r="1561">
      <c r="A1561" s="19" t="n"/>
      <c r="B1561" s="19" t="n"/>
      <c r="C1561" s="19" t="n"/>
      <c r="D1561" s="19" t="n"/>
      <c r="E1561" s="19" t="n"/>
      <c r="F1561" s="19" t="n"/>
      <c r="G1561" s="19" t="n"/>
      <c r="H1561" s="19" t="n"/>
      <c r="I1561" s="19" t="n"/>
      <c r="J1561" s="19" t="n"/>
      <c r="K1561" s="19" t="n"/>
      <c r="L1561" s="19" t="n"/>
      <c r="M1561" s="19" t="n"/>
      <c r="N1561" s="19" t="n"/>
      <c r="O1561" s="19" t="n"/>
      <c r="P1561" s="19" t="n"/>
    </row>
    <row r="1562">
      <c r="A1562" s="19" t="n"/>
      <c r="B1562" s="19" t="n"/>
      <c r="C1562" s="19" t="n"/>
      <c r="D1562" s="19" t="n"/>
      <c r="E1562" s="19" t="n"/>
      <c r="F1562" s="19" t="n"/>
      <c r="G1562" s="19" t="n"/>
      <c r="H1562" s="19" t="n"/>
      <c r="I1562" s="19" t="n"/>
      <c r="J1562" s="19" t="n"/>
      <c r="K1562" s="19" t="n"/>
      <c r="L1562" s="19" t="n"/>
      <c r="M1562" s="19" t="n"/>
      <c r="N1562" s="19" t="n"/>
      <c r="O1562" s="19" t="n"/>
      <c r="P1562" s="19" t="n"/>
    </row>
    <row r="1563">
      <c r="A1563" s="19" t="n"/>
      <c r="B1563" s="19" t="n"/>
      <c r="C1563" s="19" t="n"/>
      <c r="D1563" s="19" t="n"/>
      <c r="E1563" s="19" t="n"/>
      <c r="F1563" s="19" t="n"/>
      <c r="G1563" s="19" t="n"/>
      <c r="H1563" s="19" t="n"/>
      <c r="I1563" s="19" t="n"/>
      <c r="J1563" s="19" t="n"/>
      <c r="K1563" s="19" t="n"/>
      <c r="L1563" s="19" t="n"/>
      <c r="M1563" s="19" t="n"/>
      <c r="N1563" s="19" t="n"/>
      <c r="O1563" s="19" t="n"/>
      <c r="P1563" s="19" t="n"/>
    </row>
    <row r="1564">
      <c r="A1564" s="19" t="n"/>
      <c r="B1564" s="19" t="n"/>
      <c r="C1564" s="19" t="n"/>
      <c r="D1564" s="19" t="n"/>
      <c r="E1564" s="19" t="n"/>
      <c r="F1564" s="19" t="n"/>
      <c r="G1564" s="19" t="n"/>
      <c r="H1564" s="19" t="n"/>
      <c r="I1564" s="19" t="n"/>
      <c r="J1564" s="19" t="n"/>
      <c r="K1564" s="19" t="n"/>
      <c r="L1564" s="19" t="n"/>
      <c r="M1564" s="19" t="n"/>
      <c r="N1564" s="19" t="n"/>
      <c r="O1564" s="19" t="n"/>
      <c r="P1564" s="19" t="n"/>
    </row>
    <row r="1565">
      <c r="A1565" s="19" t="n"/>
      <c r="B1565" s="19" t="n"/>
      <c r="C1565" s="19" t="n"/>
      <c r="D1565" s="19" t="n"/>
      <c r="E1565" s="19" t="n"/>
      <c r="F1565" s="19" t="n"/>
      <c r="G1565" s="19" t="n"/>
      <c r="H1565" s="19" t="n"/>
      <c r="I1565" s="19" t="n"/>
      <c r="J1565" s="19" t="n"/>
      <c r="K1565" s="19" t="n"/>
      <c r="L1565" s="19" t="n"/>
      <c r="M1565" s="19" t="n"/>
      <c r="N1565" s="19" t="n"/>
      <c r="O1565" s="19" t="n"/>
      <c r="P1565" s="19" t="n"/>
    </row>
    <row r="1566">
      <c r="A1566" s="19" t="n"/>
      <c r="B1566" s="19" t="n"/>
      <c r="C1566" s="19" t="n"/>
      <c r="D1566" s="19" t="n"/>
      <c r="E1566" s="19" t="n"/>
      <c r="F1566" s="19" t="n"/>
      <c r="G1566" s="19" t="n"/>
      <c r="H1566" s="19" t="n"/>
      <c r="I1566" s="19" t="n"/>
      <c r="J1566" s="19" t="n"/>
      <c r="K1566" s="19" t="n"/>
      <c r="L1566" s="19" t="n"/>
      <c r="M1566" s="19" t="n"/>
      <c r="N1566" s="19" t="n"/>
      <c r="O1566" s="19" t="n"/>
      <c r="P1566" s="19" t="n"/>
    </row>
    <row r="1567">
      <c r="A1567" s="19" t="n"/>
      <c r="B1567" s="19" t="n"/>
      <c r="C1567" s="19" t="n"/>
      <c r="D1567" s="19" t="n"/>
      <c r="E1567" s="19" t="n"/>
      <c r="F1567" s="19" t="n"/>
      <c r="G1567" s="19" t="n"/>
      <c r="H1567" s="19" t="n"/>
      <c r="I1567" s="19" t="n"/>
      <c r="J1567" s="19" t="n"/>
      <c r="K1567" s="19" t="n"/>
      <c r="L1567" s="19" t="n"/>
      <c r="M1567" s="19" t="n"/>
      <c r="N1567" s="19" t="n"/>
      <c r="O1567" s="19" t="n"/>
      <c r="P1567" s="19" t="n"/>
    </row>
    <row r="1568">
      <c r="A1568" s="19" t="n"/>
      <c r="B1568" s="19" t="n"/>
      <c r="C1568" s="19" t="n"/>
      <c r="D1568" s="19" t="n"/>
      <c r="E1568" s="19" t="n"/>
      <c r="F1568" s="19" t="n"/>
      <c r="G1568" s="19" t="n"/>
      <c r="H1568" s="19" t="n"/>
      <c r="I1568" s="19" t="n"/>
      <c r="J1568" s="19" t="n"/>
      <c r="K1568" s="19" t="n"/>
      <c r="L1568" s="19" t="n"/>
      <c r="M1568" s="19" t="n"/>
      <c r="N1568" s="19" t="n"/>
      <c r="O1568" s="19" t="n"/>
      <c r="P1568" s="19" t="n"/>
    </row>
    <row r="1569">
      <c r="A1569" s="19" t="n"/>
      <c r="B1569" s="19" t="n"/>
      <c r="C1569" s="19" t="n"/>
      <c r="D1569" s="19" t="n"/>
      <c r="E1569" s="19" t="n"/>
      <c r="F1569" s="19" t="n"/>
      <c r="G1569" s="19" t="n"/>
      <c r="H1569" s="19" t="n"/>
      <c r="I1569" s="19" t="n"/>
      <c r="J1569" s="19" t="n"/>
      <c r="K1569" s="19" t="n"/>
      <c r="L1569" s="19" t="n"/>
      <c r="M1569" s="19" t="n"/>
      <c r="N1569" s="19" t="n"/>
      <c r="O1569" s="19" t="n"/>
      <c r="P1569" s="19" t="n"/>
    </row>
    <row r="1570">
      <c r="A1570" s="19" t="n"/>
      <c r="B1570" s="19" t="n"/>
      <c r="C1570" s="19" t="n"/>
      <c r="D1570" s="19" t="n"/>
      <c r="E1570" s="19" t="n"/>
      <c r="F1570" s="19" t="n"/>
      <c r="G1570" s="19" t="n"/>
      <c r="H1570" s="19" t="n"/>
      <c r="I1570" s="19" t="n"/>
      <c r="J1570" s="19" t="n"/>
      <c r="K1570" s="19" t="n"/>
      <c r="L1570" s="19" t="n"/>
      <c r="M1570" s="19" t="n"/>
      <c r="N1570" s="19" t="n"/>
      <c r="O1570" s="19" t="n"/>
      <c r="P1570" s="19" t="n"/>
    </row>
    <row r="1571">
      <c r="A1571" s="19" t="n"/>
      <c r="B1571" s="19" t="n"/>
      <c r="C1571" s="19" t="n"/>
      <c r="D1571" s="19" t="n"/>
      <c r="E1571" s="19" t="n"/>
      <c r="F1571" s="19" t="n"/>
      <c r="G1571" s="19" t="n"/>
      <c r="H1571" s="19" t="n"/>
      <c r="I1571" s="19" t="n"/>
      <c r="J1571" s="19" t="n"/>
      <c r="K1571" s="19" t="n"/>
      <c r="L1571" s="19" t="n"/>
      <c r="M1571" s="19" t="n"/>
      <c r="N1571" s="19" t="n"/>
      <c r="O1571" s="19" t="n"/>
      <c r="P1571" s="19" t="n"/>
    </row>
    <row r="1572">
      <c r="A1572" s="19" t="n"/>
      <c r="B1572" s="19" t="n"/>
      <c r="C1572" s="19" t="n"/>
      <c r="D1572" s="19" t="n"/>
      <c r="E1572" s="19" t="n"/>
      <c r="F1572" s="19" t="n"/>
      <c r="G1572" s="19" t="n"/>
      <c r="H1572" s="19" t="n"/>
      <c r="I1572" s="19" t="n"/>
      <c r="J1572" s="19" t="n"/>
      <c r="K1572" s="19" t="n"/>
      <c r="L1572" s="19" t="n"/>
      <c r="M1572" s="19" t="n"/>
      <c r="N1572" s="19" t="n"/>
      <c r="O1572" s="19" t="n"/>
      <c r="P1572" s="19" t="n"/>
    </row>
    <row r="1573">
      <c r="A1573" s="19" t="n"/>
      <c r="B1573" s="19" t="n"/>
      <c r="C1573" s="19" t="n"/>
      <c r="D1573" s="19" t="n"/>
      <c r="E1573" s="19" t="n"/>
      <c r="F1573" s="19" t="n"/>
      <c r="G1573" s="19" t="n"/>
      <c r="H1573" s="19" t="n"/>
      <c r="I1573" s="19" t="n"/>
      <c r="J1573" s="19" t="n"/>
      <c r="K1573" s="19" t="n"/>
      <c r="L1573" s="19" t="n"/>
      <c r="M1573" s="19" t="n"/>
      <c r="N1573" s="19" t="n"/>
      <c r="O1573" s="19" t="n"/>
      <c r="P1573" s="19" t="n"/>
    </row>
    <row r="1574">
      <c r="A1574" s="19" t="n"/>
      <c r="B1574" s="19" t="n"/>
      <c r="C1574" s="19" t="n"/>
      <c r="D1574" s="19" t="n"/>
      <c r="E1574" s="19" t="n"/>
      <c r="F1574" s="19" t="n"/>
      <c r="G1574" s="19" t="n"/>
      <c r="H1574" s="19" t="n"/>
      <c r="I1574" s="19" t="n"/>
      <c r="J1574" s="19" t="n"/>
      <c r="K1574" s="19" t="n"/>
      <c r="L1574" s="19" t="n"/>
      <c r="M1574" s="19" t="n"/>
      <c r="N1574" s="19" t="n"/>
      <c r="O1574" s="19" t="n"/>
      <c r="P1574" s="19" t="n"/>
    </row>
    <row r="1575">
      <c r="A1575" s="19" t="n"/>
      <c r="B1575" s="19" t="n"/>
      <c r="C1575" s="19" t="n"/>
      <c r="D1575" s="19" t="n"/>
      <c r="E1575" s="19" t="n"/>
      <c r="F1575" s="19" t="n"/>
      <c r="G1575" s="19" t="n"/>
      <c r="H1575" s="19" t="n"/>
      <c r="I1575" s="19" t="n"/>
      <c r="J1575" s="19" t="n"/>
      <c r="K1575" s="19" t="n"/>
      <c r="L1575" s="19" t="n"/>
      <c r="M1575" s="19" t="n"/>
      <c r="N1575" s="19" t="n"/>
      <c r="O1575" s="19" t="n"/>
      <c r="P1575" s="19" t="n"/>
    </row>
    <row r="1576">
      <c r="A1576" s="19" t="n"/>
      <c r="B1576" s="19" t="n"/>
      <c r="C1576" s="19" t="n"/>
      <c r="D1576" s="19" t="n"/>
      <c r="E1576" s="19" t="n"/>
      <c r="F1576" s="19" t="n"/>
      <c r="G1576" s="19" t="n"/>
      <c r="H1576" s="19" t="n"/>
      <c r="I1576" s="19" t="n"/>
      <c r="J1576" s="19" t="n"/>
      <c r="K1576" s="19" t="n"/>
      <c r="L1576" s="19" t="n"/>
      <c r="M1576" s="19" t="n"/>
      <c r="N1576" s="19" t="n"/>
      <c r="O1576" s="19" t="n"/>
      <c r="P1576" s="19" t="n"/>
    </row>
    <row r="1577">
      <c r="A1577" s="19" t="n"/>
      <c r="B1577" s="19" t="n"/>
      <c r="C1577" s="19" t="n"/>
      <c r="D1577" s="19" t="n"/>
      <c r="E1577" s="19" t="n"/>
      <c r="F1577" s="19" t="n"/>
      <c r="G1577" s="19" t="n"/>
      <c r="H1577" s="19" t="n"/>
      <c r="I1577" s="19" t="n"/>
      <c r="J1577" s="19" t="n"/>
      <c r="K1577" s="19" t="n"/>
      <c r="L1577" s="19" t="n"/>
      <c r="M1577" s="19" t="n"/>
      <c r="N1577" s="19" t="n"/>
      <c r="O1577" s="19" t="n"/>
      <c r="P1577" s="19" t="n"/>
    </row>
    <row r="1578">
      <c r="A1578" s="19" t="n"/>
      <c r="B1578" s="19" t="n"/>
      <c r="C1578" s="19" t="n"/>
      <c r="D1578" s="19" t="n"/>
      <c r="E1578" s="19" t="n"/>
      <c r="F1578" s="19" t="n"/>
      <c r="G1578" s="19" t="n"/>
      <c r="H1578" s="19" t="n"/>
      <c r="I1578" s="19" t="n"/>
      <c r="J1578" s="19" t="n"/>
      <c r="K1578" s="19" t="n"/>
      <c r="L1578" s="19" t="n"/>
      <c r="M1578" s="19" t="n"/>
      <c r="N1578" s="19" t="n"/>
      <c r="O1578" s="19" t="n"/>
      <c r="P1578" s="19" t="n"/>
    </row>
    <row r="1579">
      <c r="A1579" s="19" t="n"/>
      <c r="B1579" s="19" t="n"/>
      <c r="C1579" s="19" t="n"/>
      <c r="D1579" s="19" t="n"/>
      <c r="E1579" s="19" t="n"/>
      <c r="F1579" s="19" t="n"/>
      <c r="G1579" s="19" t="n"/>
      <c r="H1579" s="19" t="n"/>
      <c r="I1579" s="19" t="n"/>
      <c r="J1579" s="19" t="n"/>
      <c r="K1579" s="19" t="n"/>
      <c r="L1579" s="19" t="n"/>
      <c r="M1579" s="19" t="n"/>
      <c r="N1579" s="19" t="n"/>
      <c r="O1579" s="19" t="n"/>
      <c r="P1579" s="19" t="n"/>
    </row>
    <row r="1580">
      <c r="A1580" s="19" t="n"/>
      <c r="B1580" s="19" t="n"/>
      <c r="C1580" s="19" t="n"/>
      <c r="D1580" s="19" t="n"/>
      <c r="E1580" s="19" t="n"/>
      <c r="F1580" s="19" t="n"/>
      <c r="G1580" s="19" t="n"/>
      <c r="H1580" s="19" t="n"/>
      <c r="I1580" s="19" t="n"/>
      <c r="J1580" s="19" t="n"/>
      <c r="K1580" s="19" t="n"/>
      <c r="L1580" s="19" t="n"/>
      <c r="M1580" s="19" t="n"/>
      <c r="N1580" s="19" t="n"/>
      <c r="O1580" s="19" t="n"/>
      <c r="P1580" s="19" t="n"/>
    </row>
    <row r="1581">
      <c r="A1581" s="19" t="n"/>
      <c r="B1581" s="19" t="n"/>
      <c r="C1581" s="19" t="n"/>
      <c r="D1581" s="19" t="n"/>
      <c r="E1581" s="19" t="n"/>
      <c r="F1581" s="19" t="n"/>
      <c r="G1581" s="19" t="n"/>
      <c r="H1581" s="19" t="n"/>
      <c r="I1581" s="19" t="n"/>
      <c r="J1581" s="19" t="n"/>
      <c r="K1581" s="19" t="n"/>
      <c r="L1581" s="19" t="n"/>
      <c r="M1581" s="19" t="n"/>
      <c r="N1581" s="19" t="n"/>
      <c r="O1581" s="19" t="n"/>
      <c r="P1581" s="19" t="n"/>
    </row>
    <row r="1582">
      <c r="A1582" s="19" t="n"/>
      <c r="B1582" s="19" t="n"/>
      <c r="C1582" s="19" t="n"/>
      <c r="D1582" s="19" t="n"/>
      <c r="E1582" s="19" t="n"/>
      <c r="F1582" s="19" t="n"/>
      <c r="G1582" s="19" t="n"/>
      <c r="H1582" s="19" t="n"/>
      <c r="I1582" s="19" t="n"/>
      <c r="J1582" s="19" t="n"/>
      <c r="K1582" s="19" t="n"/>
      <c r="L1582" s="19" t="n"/>
      <c r="M1582" s="19" t="n"/>
      <c r="N1582" s="19" t="n"/>
      <c r="O1582" s="19" t="n"/>
      <c r="P1582" s="19" t="n"/>
    </row>
    <row r="1583">
      <c r="A1583" s="19" t="n"/>
      <c r="B1583" s="19" t="n"/>
      <c r="C1583" s="19" t="n"/>
      <c r="D1583" s="19" t="n"/>
      <c r="E1583" s="19" t="n"/>
      <c r="F1583" s="19" t="n"/>
      <c r="G1583" s="19" t="n"/>
      <c r="H1583" s="19" t="n"/>
      <c r="I1583" s="19" t="n"/>
      <c r="J1583" s="19" t="n"/>
      <c r="K1583" s="19" t="n"/>
      <c r="L1583" s="19" t="n"/>
      <c r="M1583" s="19" t="n"/>
      <c r="N1583" s="19" t="n"/>
      <c r="O1583" s="19" t="n"/>
      <c r="P1583" s="19" t="n"/>
    </row>
    <row r="1584">
      <c r="A1584" s="19" t="n"/>
      <c r="B1584" s="19" t="n"/>
      <c r="C1584" s="19" t="n"/>
      <c r="D1584" s="19" t="n"/>
      <c r="E1584" s="19" t="n"/>
      <c r="F1584" s="19" t="n"/>
      <c r="G1584" s="19" t="n"/>
      <c r="H1584" s="19" t="n"/>
      <c r="I1584" s="19" t="n"/>
      <c r="J1584" s="19" t="n"/>
      <c r="K1584" s="19" t="n"/>
      <c r="L1584" s="19" t="n"/>
      <c r="M1584" s="19" t="n"/>
      <c r="N1584" s="19" t="n"/>
      <c r="O1584" s="19" t="n"/>
      <c r="P1584" s="19" t="n"/>
    </row>
    <row r="1585">
      <c r="A1585" s="19" t="n"/>
      <c r="B1585" s="19" t="n"/>
      <c r="C1585" s="19" t="n"/>
      <c r="D1585" s="19" t="n"/>
      <c r="E1585" s="19" t="n"/>
      <c r="F1585" s="19" t="n"/>
      <c r="G1585" s="19" t="n"/>
      <c r="H1585" s="19" t="n"/>
      <c r="I1585" s="19" t="n"/>
      <c r="J1585" s="19" t="n"/>
      <c r="K1585" s="19" t="n"/>
      <c r="L1585" s="19" t="n"/>
      <c r="M1585" s="19" t="n"/>
      <c r="N1585" s="19" t="n"/>
      <c r="O1585" s="19" t="n"/>
      <c r="P1585" s="19" t="n"/>
    </row>
    <row r="1586">
      <c r="A1586" s="19" t="n"/>
      <c r="B1586" s="19" t="n"/>
      <c r="C1586" s="19" t="n"/>
      <c r="D1586" s="19" t="n"/>
      <c r="E1586" s="19" t="n"/>
      <c r="F1586" s="19" t="n"/>
      <c r="G1586" s="19" t="n"/>
      <c r="H1586" s="19" t="n"/>
      <c r="I1586" s="19" t="n"/>
      <c r="J1586" s="19" t="n"/>
      <c r="K1586" s="19" t="n"/>
      <c r="L1586" s="19" t="n"/>
      <c r="M1586" s="19" t="n"/>
      <c r="N1586" s="19" t="n"/>
      <c r="O1586" s="19" t="n"/>
      <c r="P1586" s="19" t="n"/>
    </row>
    <row r="1587">
      <c r="A1587" s="19" t="n"/>
      <c r="B1587" s="19" t="n"/>
      <c r="C1587" s="19" t="n"/>
      <c r="D1587" s="19" t="n"/>
      <c r="E1587" s="19" t="n"/>
      <c r="F1587" s="19" t="n"/>
      <c r="G1587" s="19" t="n"/>
      <c r="H1587" s="19" t="n"/>
      <c r="I1587" s="19" t="n"/>
      <c r="J1587" s="19" t="n"/>
      <c r="K1587" s="19" t="n"/>
      <c r="L1587" s="19" t="n"/>
      <c r="M1587" s="19" t="n"/>
      <c r="N1587" s="19" t="n"/>
      <c r="O1587" s="19" t="n"/>
      <c r="P1587" s="19" t="n"/>
    </row>
    <row r="1588">
      <c r="A1588" s="19" t="n"/>
      <c r="B1588" s="19" t="n"/>
      <c r="C1588" s="19" t="n"/>
      <c r="D1588" s="19" t="n"/>
      <c r="E1588" s="19" t="n"/>
      <c r="F1588" s="19" t="n"/>
      <c r="G1588" s="19" t="n"/>
      <c r="H1588" s="19" t="n"/>
      <c r="I1588" s="19" t="n"/>
      <c r="J1588" s="19" t="n"/>
      <c r="K1588" s="19" t="n"/>
      <c r="L1588" s="19" t="n"/>
      <c r="M1588" s="19" t="n"/>
      <c r="N1588" s="19" t="n"/>
      <c r="O1588" s="19" t="n"/>
      <c r="P1588" s="19" t="n"/>
    </row>
    <row r="1589">
      <c r="A1589" s="19" t="n"/>
      <c r="B1589" s="19" t="n"/>
      <c r="C1589" s="19" t="n"/>
      <c r="D1589" s="19" t="n"/>
      <c r="E1589" s="19" t="n"/>
      <c r="F1589" s="19" t="n"/>
      <c r="G1589" s="19" t="n"/>
      <c r="H1589" s="19" t="n"/>
      <c r="I1589" s="19" t="n"/>
      <c r="J1589" s="19" t="n"/>
      <c r="K1589" s="19" t="n"/>
      <c r="L1589" s="19" t="n"/>
      <c r="M1589" s="19" t="n"/>
      <c r="N1589" s="19" t="n"/>
      <c r="O1589" s="19" t="n"/>
      <c r="P1589" s="19" t="n"/>
    </row>
    <row r="1590">
      <c r="A1590" s="19" t="n"/>
      <c r="B1590" s="19" t="n"/>
      <c r="C1590" s="19" t="n"/>
      <c r="D1590" s="19" t="n"/>
      <c r="E1590" s="19" t="n"/>
      <c r="F1590" s="19" t="n"/>
      <c r="G1590" s="19" t="n"/>
      <c r="H1590" s="19" t="n"/>
      <c r="I1590" s="19" t="n"/>
      <c r="J1590" s="19" t="n"/>
      <c r="K1590" s="19" t="n"/>
      <c r="L1590" s="19" t="n"/>
      <c r="M1590" s="19" t="n"/>
      <c r="N1590" s="19" t="n"/>
      <c r="O1590" s="19" t="n"/>
      <c r="P1590" s="19" t="n"/>
    </row>
    <row r="1591">
      <c r="A1591" s="19" t="n"/>
      <c r="B1591" s="19" t="n"/>
      <c r="C1591" s="19" t="n"/>
      <c r="D1591" s="19" t="n"/>
      <c r="E1591" s="19" t="n"/>
      <c r="F1591" s="19" t="n"/>
      <c r="G1591" s="19" t="n"/>
      <c r="H1591" s="19" t="n"/>
      <c r="I1591" s="19" t="n"/>
      <c r="J1591" s="19" t="n"/>
      <c r="K1591" s="19" t="n"/>
      <c r="L1591" s="19" t="n"/>
      <c r="M1591" s="19" t="n"/>
      <c r="N1591" s="19" t="n"/>
      <c r="O1591" s="19" t="n"/>
      <c r="P1591" s="19" t="n"/>
    </row>
    <row r="1592">
      <c r="A1592" s="19" t="n"/>
      <c r="B1592" s="19" t="n"/>
      <c r="C1592" s="19" t="n"/>
      <c r="D1592" s="19" t="n"/>
      <c r="E1592" s="19" t="n"/>
      <c r="F1592" s="19" t="n"/>
      <c r="G1592" s="19" t="n"/>
      <c r="H1592" s="19" t="n"/>
      <c r="I1592" s="19" t="n"/>
      <c r="J1592" s="19" t="n"/>
      <c r="K1592" s="19" t="n"/>
      <c r="L1592" s="19" t="n"/>
      <c r="M1592" s="19" t="n"/>
      <c r="N1592" s="19" t="n"/>
      <c r="O1592" s="19" t="n"/>
      <c r="P1592" s="19" t="n"/>
    </row>
    <row r="1593">
      <c r="A1593" s="19" t="n"/>
      <c r="B1593" s="19" t="n"/>
      <c r="C1593" s="19" t="n"/>
      <c r="D1593" s="19" t="n"/>
      <c r="E1593" s="19" t="n"/>
      <c r="F1593" s="19" t="n"/>
      <c r="G1593" s="19" t="n"/>
      <c r="H1593" s="19" t="n"/>
      <c r="I1593" s="19" t="n"/>
      <c r="J1593" s="19" t="n"/>
      <c r="K1593" s="19" t="n"/>
      <c r="L1593" s="19" t="n"/>
      <c r="M1593" s="19" t="n"/>
      <c r="N1593" s="19" t="n"/>
      <c r="O1593" s="19" t="n"/>
      <c r="P1593" s="19" t="n"/>
    </row>
    <row r="1594">
      <c r="A1594" s="19" t="n"/>
      <c r="B1594" s="19" t="n"/>
      <c r="C1594" s="19" t="n"/>
      <c r="D1594" s="19" t="n"/>
      <c r="E1594" s="19" t="n"/>
      <c r="F1594" s="19" t="n"/>
      <c r="G1594" s="19" t="n"/>
      <c r="H1594" s="19" t="n"/>
      <c r="I1594" s="19" t="n"/>
      <c r="J1594" s="19" t="n"/>
      <c r="K1594" s="19" t="n"/>
      <c r="L1594" s="19" t="n"/>
      <c r="M1594" s="19" t="n"/>
      <c r="N1594" s="19" t="n"/>
      <c r="O1594" s="19" t="n"/>
      <c r="P1594" s="19" t="n"/>
    </row>
    <row r="1595">
      <c r="A1595" s="19" t="n"/>
      <c r="B1595" s="19" t="n"/>
      <c r="C1595" s="19" t="n"/>
      <c r="D1595" s="19" t="n"/>
      <c r="E1595" s="19" t="n"/>
      <c r="F1595" s="19" t="n"/>
      <c r="G1595" s="19" t="n"/>
      <c r="H1595" s="19" t="n"/>
      <c r="I1595" s="19" t="n"/>
      <c r="J1595" s="19" t="n"/>
      <c r="K1595" s="19" t="n"/>
      <c r="L1595" s="19" t="n"/>
      <c r="M1595" s="19" t="n"/>
      <c r="N1595" s="19" t="n"/>
      <c r="O1595" s="19" t="n"/>
      <c r="P1595" s="19" t="n"/>
    </row>
    <row r="1596">
      <c r="A1596" s="19" t="n"/>
      <c r="B1596" s="19" t="n"/>
      <c r="C1596" s="19" t="n"/>
      <c r="D1596" s="19" t="n"/>
      <c r="E1596" s="19" t="n"/>
      <c r="F1596" s="19" t="n"/>
      <c r="G1596" s="19" t="n"/>
      <c r="H1596" s="19" t="n"/>
      <c r="I1596" s="19" t="n"/>
      <c r="J1596" s="19" t="n"/>
      <c r="K1596" s="19" t="n"/>
      <c r="L1596" s="19" t="n"/>
      <c r="M1596" s="19" t="n"/>
      <c r="N1596" s="19" t="n"/>
      <c r="O1596" s="19" t="n"/>
      <c r="P1596" s="19" t="n"/>
    </row>
    <row r="1597">
      <c r="A1597" s="19" t="n"/>
      <c r="B1597" s="19" t="n"/>
      <c r="C1597" s="19" t="n"/>
      <c r="D1597" s="19" t="n"/>
      <c r="E1597" s="19" t="n"/>
      <c r="F1597" s="19" t="n"/>
      <c r="G1597" s="19" t="n"/>
      <c r="H1597" s="19" t="n"/>
      <c r="I1597" s="19" t="n"/>
      <c r="J1597" s="19" t="n"/>
      <c r="K1597" s="19" t="n"/>
      <c r="L1597" s="19" t="n"/>
      <c r="M1597" s="19" t="n"/>
      <c r="N1597" s="19" t="n"/>
      <c r="O1597" s="19" t="n"/>
      <c r="P1597" s="19" t="n"/>
    </row>
    <row r="1598">
      <c r="A1598" s="19" t="n"/>
      <c r="B1598" s="19" t="n"/>
      <c r="C1598" s="19" t="n"/>
      <c r="D1598" s="19" t="n"/>
      <c r="E1598" s="19" t="n"/>
      <c r="F1598" s="19" t="n"/>
      <c r="G1598" s="19" t="n"/>
      <c r="H1598" s="19" t="n"/>
      <c r="I1598" s="19" t="n"/>
      <c r="J1598" s="19" t="n"/>
      <c r="K1598" s="19" t="n"/>
      <c r="L1598" s="19" t="n"/>
      <c r="M1598" s="19" t="n"/>
      <c r="N1598" s="19" t="n"/>
      <c r="O1598" s="19" t="n"/>
      <c r="P1598" s="19" t="n"/>
    </row>
    <row r="1599">
      <c r="A1599" s="19" t="n"/>
      <c r="B1599" s="19" t="n"/>
      <c r="C1599" s="19" t="n"/>
      <c r="D1599" s="19" t="n"/>
      <c r="E1599" s="19" t="n"/>
      <c r="F1599" s="19" t="n"/>
      <c r="G1599" s="19" t="n"/>
      <c r="H1599" s="19" t="n"/>
      <c r="I1599" s="19" t="n"/>
      <c r="J1599" s="19" t="n"/>
      <c r="K1599" s="19" t="n"/>
      <c r="L1599" s="19" t="n"/>
      <c r="M1599" s="19" t="n"/>
      <c r="N1599" s="19" t="n"/>
      <c r="O1599" s="19" t="n"/>
      <c r="P1599" s="19" t="n"/>
    </row>
    <row r="1600">
      <c r="A1600" s="19" t="n"/>
      <c r="B1600" s="19" t="n"/>
      <c r="C1600" s="19" t="n"/>
      <c r="D1600" s="19" t="n"/>
      <c r="E1600" s="19" t="n"/>
      <c r="F1600" s="19" t="n"/>
      <c r="G1600" s="19" t="n"/>
      <c r="H1600" s="19" t="n"/>
      <c r="I1600" s="19" t="n"/>
      <c r="J1600" s="19" t="n"/>
      <c r="K1600" s="19" t="n"/>
      <c r="L1600" s="19" t="n"/>
      <c r="M1600" s="19" t="n"/>
      <c r="N1600" s="19" t="n"/>
      <c r="O1600" s="19" t="n"/>
      <c r="P1600" s="19" t="n"/>
    </row>
    <row r="1601">
      <c r="A1601" s="19" t="n"/>
      <c r="B1601" s="19" t="n"/>
      <c r="C1601" s="19" t="n"/>
      <c r="D1601" s="19" t="n"/>
      <c r="E1601" s="19" t="n"/>
      <c r="F1601" s="19" t="n"/>
      <c r="G1601" s="19" t="n"/>
      <c r="H1601" s="19" t="n"/>
      <c r="I1601" s="19" t="n"/>
      <c r="J1601" s="19" t="n"/>
      <c r="K1601" s="19" t="n"/>
      <c r="L1601" s="19" t="n"/>
      <c r="M1601" s="19" t="n"/>
      <c r="N1601" s="19" t="n"/>
      <c r="O1601" s="19" t="n"/>
      <c r="P1601" s="19" t="n"/>
    </row>
    <row r="1602">
      <c r="A1602" s="19" t="n"/>
      <c r="B1602" s="19" t="n"/>
      <c r="C1602" s="19" t="n"/>
      <c r="D1602" s="19" t="n"/>
      <c r="E1602" s="19" t="n"/>
      <c r="F1602" s="19" t="n"/>
      <c r="G1602" s="19" t="n"/>
      <c r="H1602" s="19" t="n"/>
      <c r="I1602" s="19" t="n"/>
      <c r="J1602" s="19" t="n"/>
      <c r="K1602" s="19" t="n"/>
      <c r="L1602" s="19" t="n"/>
      <c r="M1602" s="19" t="n"/>
      <c r="N1602" s="19" t="n"/>
      <c r="O1602" s="19" t="n"/>
      <c r="P1602" s="19" t="n"/>
    </row>
    <row r="1603">
      <c r="A1603" s="19" t="n"/>
      <c r="B1603" s="19" t="n"/>
      <c r="C1603" s="19" t="n"/>
      <c r="D1603" s="19" t="n"/>
      <c r="E1603" s="19" t="n"/>
      <c r="F1603" s="19" t="n"/>
      <c r="G1603" s="19" t="n"/>
      <c r="H1603" s="19" t="n"/>
      <c r="I1603" s="19" t="n"/>
      <c r="J1603" s="19" t="n"/>
      <c r="K1603" s="19" t="n"/>
      <c r="L1603" s="19" t="n"/>
      <c r="M1603" s="19" t="n"/>
      <c r="N1603" s="19" t="n"/>
      <c r="O1603" s="19" t="n"/>
      <c r="P1603" s="19" t="n"/>
    </row>
    <row r="1604">
      <c r="A1604" s="19" t="n"/>
      <c r="B1604" s="19" t="n"/>
      <c r="C1604" s="19" t="n"/>
      <c r="D1604" s="19" t="n"/>
      <c r="E1604" s="19" t="n"/>
      <c r="F1604" s="19" t="n"/>
      <c r="G1604" s="19" t="n"/>
      <c r="H1604" s="19" t="n"/>
      <c r="I1604" s="19" t="n"/>
      <c r="J1604" s="19" t="n"/>
      <c r="K1604" s="19" t="n"/>
      <c r="L1604" s="19" t="n"/>
      <c r="M1604" s="19" t="n"/>
      <c r="N1604" s="19" t="n"/>
      <c r="O1604" s="19" t="n"/>
      <c r="P1604" s="19" t="n"/>
    </row>
    <row r="1605">
      <c r="A1605" s="19" t="n"/>
      <c r="B1605" s="19" t="n"/>
      <c r="C1605" s="19" t="n"/>
      <c r="D1605" s="19" t="n"/>
      <c r="E1605" s="19" t="n"/>
      <c r="F1605" s="19" t="n"/>
      <c r="G1605" s="19" t="n"/>
      <c r="H1605" s="19" t="n"/>
      <c r="I1605" s="19" t="n"/>
      <c r="J1605" s="19" t="n"/>
      <c r="K1605" s="19" t="n"/>
      <c r="L1605" s="19" t="n"/>
      <c r="M1605" s="19" t="n"/>
      <c r="N1605" s="19" t="n"/>
      <c r="O1605" s="19" t="n"/>
      <c r="P1605" s="19" t="n"/>
    </row>
    <row r="1606">
      <c r="A1606" s="19" t="n"/>
      <c r="B1606" s="19" t="n"/>
      <c r="C1606" s="19" t="n"/>
      <c r="D1606" s="19" t="n"/>
      <c r="E1606" s="19" t="n"/>
      <c r="F1606" s="19" t="n"/>
      <c r="G1606" s="19" t="n"/>
      <c r="H1606" s="19" t="n"/>
      <c r="I1606" s="19" t="n"/>
      <c r="J1606" s="19" t="n"/>
      <c r="K1606" s="19" t="n"/>
      <c r="L1606" s="19" t="n"/>
      <c r="M1606" s="19" t="n"/>
      <c r="N1606" s="19" t="n"/>
      <c r="O1606" s="19" t="n"/>
      <c r="P1606" s="19" t="n"/>
    </row>
    <row r="1607">
      <c r="A1607" s="19" t="n"/>
      <c r="B1607" s="19" t="n"/>
      <c r="C1607" s="19" t="n"/>
      <c r="D1607" s="19" t="n"/>
      <c r="E1607" s="19" t="n"/>
      <c r="F1607" s="19" t="n"/>
      <c r="G1607" s="19" t="n"/>
      <c r="H1607" s="19" t="n"/>
      <c r="I1607" s="19" t="n"/>
      <c r="J1607" s="19" t="n"/>
      <c r="K1607" s="19" t="n"/>
      <c r="L1607" s="19" t="n"/>
      <c r="M1607" s="19" t="n"/>
      <c r="N1607" s="19" t="n"/>
      <c r="O1607" s="19" t="n"/>
      <c r="P1607" s="19" t="n"/>
    </row>
    <row r="1608">
      <c r="A1608" s="19" t="n"/>
      <c r="B1608" s="19" t="n"/>
      <c r="C1608" s="19" t="n"/>
      <c r="D1608" s="19" t="n"/>
      <c r="E1608" s="19" t="n"/>
      <c r="F1608" s="19" t="n"/>
      <c r="G1608" s="19" t="n"/>
      <c r="H1608" s="19" t="n"/>
      <c r="I1608" s="19" t="n"/>
      <c r="J1608" s="19" t="n"/>
      <c r="K1608" s="19" t="n"/>
      <c r="L1608" s="19" t="n"/>
      <c r="M1608" s="19" t="n"/>
      <c r="N1608" s="19" t="n"/>
      <c r="O1608" s="19" t="n"/>
      <c r="P1608" s="19" t="n"/>
    </row>
    <row r="1609">
      <c r="A1609" s="19" t="n"/>
      <c r="B1609" s="19" t="n"/>
      <c r="C1609" s="19" t="n"/>
      <c r="D1609" s="19" t="n"/>
      <c r="E1609" s="19" t="n"/>
      <c r="F1609" s="19" t="n"/>
      <c r="G1609" s="19" t="n"/>
      <c r="H1609" s="19" t="n"/>
      <c r="I1609" s="19" t="n"/>
      <c r="J1609" s="19" t="n"/>
      <c r="K1609" s="19" t="n"/>
      <c r="L1609" s="19" t="n"/>
      <c r="M1609" s="19" t="n"/>
      <c r="N1609" s="19" t="n"/>
      <c r="O1609" s="19" t="n"/>
      <c r="P1609" s="19" t="n"/>
    </row>
    <row r="1610">
      <c r="A1610" s="19" t="n"/>
      <c r="B1610" s="19" t="n"/>
      <c r="C1610" s="19" t="n"/>
      <c r="D1610" s="19" t="n"/>
      <c r="E1610" s="19" t="n"/>
      <c r="F1610" s="19" t="n"/>
      <c r="G1610" s="19" t="n"/>
      <c r="H1610" s="19" t="n"/>
      <c r="I1610" s="19" t="n"/>
      <c r="J1610" s="19" t="n"/>
      <c r="K1610" s="19" t="n"/>
      <c r="L1610" s="19" t="n"/>
      <c r="M1610" s="19" t="n"/>
      <c r="N1610" s="19" t="n"/>
      <c r="O1610" s="19" t="n"/>
      <c r="P1610" s="19" t="n"/>
    </row>
    <row r="1611">
      <c r="A1611" s="19" t="n"/>
      <c r="B1611" s="19" t="n"/>
      <c r="C1611" s="19" t="n"/>
      <c r="D1611" s="19" t="n"/>
      <c r="E1611" s="19" t="n"/>
      <c r="F1611" s="19" t="n"/>
      <c r="G1611" s="19" t="n"/>
      <c r="H1611" s="19" t="n"/>
      <c r="I1611" s="19" t="n"/>
      <c r="J1611" s="19" t="n"/>
      <c r="K1611" s="19" t="n"/>
      <c r="L1611" s="19" t="n"/>
      <c r="M1611" s="19" t="n"/>
      <c r="N1611" s="19" t="n"/>
      <c r="O1611" s="19" t="n"/>
      <c r="P1611" s="19" t="n"/>
    </row>
    <row r="1612">
      <c r="A1612" s="19" t="n"/>
      <c r="B1612" s="19" t="n"/>
      <c r="C1612" s="19" t="n"/>
      <c r="D1612" s="19" t="n"/>
      <c r="E1612" s="19" t="n"/>
      <c r="F1612" s="19" t="n"/>
      <c r="G1612" s="19" t="n"/>
      <c r="H1612" s="19" t="n"/>
      <c r="I1612" s="19" t="n"/>
      <c r="J1612" s="19" t="n"/>
      <c r="K1612" s="19" t="n"/>
      <c r="L1612" s="19" t="n"/>
      <c r="M1612" s="19" t="n"/>
      <c r="N1612" s="19" t="n"/>
      <c r="O1612" s="19" t="n"/>
      <c r="P1612" s="19" t="n"/>
    </row>
    <row r="1613">
      <c r="A1613" s="19" t="n"/>
      <c r="B1613" s="19" t="n"/>
      <c r="C1613" s="19" t="n"/>
      <c r="D1613" s="19" t="n"/>
      <c r="E1613" s="19" t="n"/>
      <c r="F1613" s="19" t="n"/>
      <c r="G1613" s="19" t="n"/>
      <c r="H1613" s="19" t="n"/>
      <c r="I1613" s="19" t="n"/>
      <c r="J1613" s="19" t="n"/>
      <c r="K1613" s="19" t="n"/>
      <c r="L1613" s="19" t="n"/>
      <c r="M1613" s="19" t="n"/>
      <c r="N1613" s="19" t="n"/>
      <c r="O1613" s="19" t="n"/>
      <c r="P1613" s="19" t="n"/>
    </row>
    <row r="1614">
      <c r="A1614" s="19" t="n"/>
      <c r="B1614" s="19" t="n"/>
      <c r="C1614" s="19" t="n"/>
      <c r="D1614" s="19" t="n"/>
      <c r="E1614" s="19" t="n"/>
      <c r="F1614" s="19" t="n"/>
      <c r="G1614" s="19" t="n"/>
      <c r="H1614" s="19" t="n"/>
      <c r="I1614" s="19" t="n"/>
      <c r="J1614" s="19" t="n"/>
      <c r="K1614" s="19" t="n"/>
      <c r="L1614" s="19" t="n"/>
      <c r="M1614" s="19" t="n"/>
      <c r="N1614" s="19" t="n"/>
      <c r="O1614" s="19" t="n"/>
      <c r="P1614" s="19" t="n"/>
    </row>
    <row r="1615">
      <c r="A1615" s="19" t="n"/>
      <c r="B1615" s="19" t="n"/>
      <c r="C1615" s="19" t="n"/>
      <c r="D1615" s="19" t="n"/>
      <c r="E1615" s="19" t="n"/>
      <c r="F1615" s="19" t="n"/>
      <c r="G1615" s="19" t="n"/>
      <c r="H1615" s="19" t="n"/>
      <c r="I1615" s="19" t="n"/>
      <c r="J1615" s="19" t="n"/>
      <c r="K1615" s="19" t="n"/>
      <c r="L1615" s="19" t="n"/>
      <c r="M1615" s="19" t="n"/>
      <c r="N1615" s="19" t="n"/>
      <c r="O1615" s="19" t="n"/>
      <c r="P1615" s="19" t="n"/>
    </row>
    <row r="1616">
      <c r="A1616" s="19" t="n"/>
      <c r="B1616" s="19" t="n"/>
      <c r="C1616" s="19" t="n"/>
      <c r="D1616" s="19" t="n"/>
      <c r="E1616" s="19" t="n"/>
      <c r="F1616" s="19" t="n"/>
      <c r="G1616" s="19" t="n"/>
      <c r="H1616" s="19" t="n"/>
      <c r="I1616" s="19" t="n"/>
      <c r="J1616" s="19" t="n"/>
      <c r="K1616" s="19" t="n"/>
      <c r="L1616" s="19" t="n"/>
      <c r="M1616" s="19" t="n"/>
      <c r="N1616" s="19" t="n"/>
      <c r="O1616" s="19" t="n"/>
      <c r="P1616" s="19" t="n"/>
    </row>
    <row r="1617">
      <c r="A1617" s="19" t="n"/>
      <c r="B1617" s="19" t="n"/>
      <c r="C1617" s="19" t="n"/>
      <c r="D1617" s="19" t="n"/>
      <c r="E1617" s="19" t="n"/>
      <c r="F1617" s="19" t="n"/>
      <c r="G1617" s="19" t="n"/>
      <c r="H1617" s="19" t="n"/>
      <c r="I1617" s="19" t="n"/>
      <c r="J1617" s="19" t="n"/>
      <c r="K1617" s="19" t="n"/>
      <c r="L1617" s="19" t="n"/>
      <c r="M1617" s="19" t="n"/>
      <c r="N1617" s="19" t="n"/>
      <c r="O1617" s="19" t="n"/>
      <c r="P1617" s="19" t="n"/>
    </row>
    <row r="1618">
      <c r="A1618" s="19" t="n"/>
      <c r="B1618" s="19" t="n"/>
      <c r="C1618" s="19" t="n"/>
      <c r="D1618" s="19" t="n"/>
      <c r="E1618" s="19" t="n"/>
      <c r="F1618" s="19" t="n"/>
      <c r="G1618" s="19" t="n"/>
      <c r="H1618" s="19" t="n"/>
      <c r="I1618" s="19" t="n"/>
      <c r="J1618" s="19" t="n"/>
      <c r="K1618" s="19" t="n"/>
      <c r="L1618" s="19" t="n"/>
      <c r="M1618" s="19" t="n"/>
      <c r="N1618" s="19" t="n"/>
      <c r="O1618" s="19" t="n"/>
      <c r="P1618" s="19" t="n"/>
    </row>
    <row r="1619">
      <c r="A1619" s="19" t="n"/>
      <c r="B1619" s="19" t="n"/>
      <c r="C1619" s="19" t="n"/>
      <c r="D1619" s="19" t="n"/>
      <c r="E1619" s="19" t="n"/>
      <c r="F1619" s="19" t="n"/>
      <c r="G1619" s="19" t="n"/>
      <c r="H1619" s="19" t="n"/>
      <c r="I1619" s="19" t="n"/>
      <c r="J1619" s="19" t="n"/>
      <c r="K1619" s="19" t="n"/>
      <c r="L1619" s="19" t="n"/>
      <c r="M1619" s="19" t="n"/>
      <c r="N1619" s="19" t="n"/>
      <c r="O1619" s="19" t="n"/>
      <c r="P1619" s="19" t="n"/>
    </row>
    <row r="1620">
      <c r="A1620" s="19" t="n"/>
      <c r="B1620" s="19" t="n"/>
      <c r="C1620" s="19" t="n"/>
      <c r="D1620" s="19" t="n"/>
      <c r="E1620" s="19" t="n"/>
      <c r="F1620" s="19" t="n"/>
      <c r="G1620" s="19" t="n"/>
      <c r="H1620" s="19" t="n"/>
      <c r="I1620" s="19" t="n"/>
      <c r="J1620" s="19" t="n"/>
      <c r="K1620" s="19" t="n"/>
      <c r="L1620" s="19" t="n"/>
      <c r="M1620" s="19" t="n"/>
      <c r="N1620" s="19" t="n"/>
      <c r="O1620" s="19" t="n"/>
      <c r="P1620" s="19" t="n"/>
    </row>
    <row r="1621">
      <c r="A1621" s="19" t="n"/>
      <c r="B1621" s="19" t="n"/>
      <c r="C1621" s="19" t="n"/>
      <c r="D1621" s="19" t="n"/>
      <c r="E1621" s="19" t="n"/>
      <c r="F1621" s="19" t="n"/>
      <c r="G1621" s="19" t="n"/>
      <c r="H1621" s="19" t="n"/>
      <c r="I1621" s="19" t="n"/>
      <c r="J1621" s="19" t="n"/>
      <c r="K1621" s="19" t="n"/>
      <c r="L1621" s="19" t="n"/>
      <c r="M1621" s="19" t="n"/>
      <c r="N1621" s="19" t="n"/>
      <c r="O1621" s="19" t="n"/>
      <c r="P1621" s="19" t="n"/>
    </row>
    <row r="1622">
      <c r="A1622" s="19" t="n"/>
      <c r="B1622" s="19" t="n"/>
      <c r="C1622" s="19" t="n"/>
      <c r="D1622" s="19" t="n"/>
      <c r="E1622" s="19" t="n"/>
      <c r="F1622" s="19" t="n"/>
      <c r="G1622" s="19" t="n"/>
      <c r="H1622" s="19" t="n"/>
      <c r="I1622" s="19" t="n"/>
      <c r="J1622" s="19" t="n"/>
      <c r="K1622" s="19" t="n"/>
      <c r="L1622" s="19" t="n"/>
      <c r="M1622" s="19" t="n"/>
      <c r="N1622" s="19" t="n"/>
      <c r="O1622" s="19" t="n"/>
      <c r="P1622" s="19" t="n"/>
    </row>
    <row r="1623">
      <c r="A1623" s="19" t="n"/>
      <c r="B1623" s="19" t="n"/>
      <c r="C1623" s="19" t="n"/>
      <c r="D1623" s="19" t="n"/>
      <c r="E1623" s="19" t="n"/>
      <c r="F1623" s="19" t="n"/>
      <c r="G1623" s="19" t="n"/>
      <c r="H1623" s="19" t="n"/>
      <c r="I1623" s="19" t="n"/>
      <c r="J1623" s="19" t="n"/>
      <c r="K1623" s="19" t="n"/>
      <c r="L1623" s="19" t="n"/>
      <c r="M1623" s="19" t="n"/>
      <c r="N1623" s="19" t="n"/>
      <c r="O1623" s="19" t="n"/>
      <c r="P1623" s="19" t="n"/>
    </row>
    <row r="1624">
      <c r="A1624" s="19" t="n"/>
      <c r="B1624" s="19" t="n"/>
      <c r="C1624" s="19" t="n"/>
      <c r="D1624" s="19" t="n"/>
      <c r="E1624" s="19" t="n"/>
      <c r="F1624" s="19" t="n"/>
      <c r="G1624" s="19" t="n"/>
      <c r="H1624" s="19" t="n"/>
      <c r="I1624" s="19" t="n"/>
      <c r="J1624" s="19" t="n"/>
      <c r="K1624" s="19" t="n"/>
      <c r="L1624" s="19" t="n"/>
      <c r="M1624" s="19" t="n"/>
      <c r="N1624" s="19" t="n"/>
      <c r="O1624" s="19" t="n"/>
      <c r="P1624" s="19" t="n"/>
    </row>
    <row r="1625">
      <c r="A1625" s="19" t="n"/>
      <c r="B1625" s="19" t="n"/>
      <c r="C1625" s="19" t="n"/>
      <c r="D1625" s="19" t="n"/>
      <c r="E1625" s="19" t="n"/>
      <c r="F1625" s="19" t="n"/>
      <c r="G1625" s="19" t="n"/>
      <c r="H1625" s="19" t="n"/>
      <c r="I1625" s="19" t="n"/>
      <c r="J1625" s="19" t="n"/>
      <c r="K1625" s="19" t="n"/>
      <c r="L1625" s="19" t="n"/>
      <c r="M1625" s="19" t="n"/>
      <c r="N1625" s="19" t="n"/>
      <c r="O1625" s="19" t="n"/>
      <c r="P1625" s="19" t="n"/>
    </row>
    <row r="1626">
      <c r="A1626" s="19" t="n"/>
      <c r="B1626" s="19" t="n"/>
      <c r="C1626" s="19" t="n"/>
      <c r="D1626" s="19" t="n"/>
      <c r="E1626" s="19" t="n"/>
      <c r="F1626" s="19" t="n"/>
      <c r="G1626" s="19" t="n"/>
      <c r="H1626" s="19" t="n"/>
      <c r="I1626" s="19" t="n"/>
      <c r="J1626" s="19" t="n"/>
      <c r="K1626" s="19" t="n"/>
      <c r="L1626" s="19" t="n"/>
      <c r="M1626" s="19" t="n"/>
      <c r="N1626" s="19" t="n"/>
      <c r="O1626" s="19" t="n"/>
      <c r="P1626" s="19" t="n"/>
    </row>
    <row r="1627">
      <c r="A1627" s="19" t="n"/>
      <c r="B1627" s="19" t="n"/>
      <c r="C1627" s="19" t="n"/>
      <c r="D1627" s="19" t="n"/>
      <c r="E1627" s="19" t="n"/>
      <c r="F1627" s="19" t="n"/>
      <c r="G1627" s="19" t="n"/>
      <c r="H1627" s="19" t="n"/>
      <c r="I1627" s="19" t="n"/>
      <c r="J1627" s="19" t="n"/>
      <c r="K1627" s="19" t="n"/>
      <c r="L1627" s="19" t="n"/>
      <c r="M1627" s="19" t="n"/>
      <c r="N1627" s="19" t="n"/>
      <c r="O1627" s="19" t="n"/>
      <c r="P1627" s="19" t="n"/>
    </row>
    <row r="1628">
      <c r="A1628" s="19" t="n"/>
      <c r="B1628" s="19" t="n"/>
      <c r="C1628" s="19" t="n"/>
      <c r="D1628" s="19" t="n"/>
      <c r="E1628" s="19" t="n"/>
      <c r="F1628" s="19" t="n"/>
      <c r="G1628" s="19" t="n"/>
      <c r="H1628" s="19" t="n"/>
      <c r="I1628" s="19" t="n"/>
      <c r="J1628" s="19" t="n"/>
      <c r="K1628" s="19" t="n"/>
      <c r="L1628" s="19" t="n"/>
      <c r="M1628" s="19" t="n"/>
      <c r="N1628" s="19" t="n"/>
      <c r="O1628" s="19" t="n"/>
      <c r="P1628" s="19" t="n"/>
    </row>
    <row r="1629">
      <c r="A1629" s="19" t="n"/>
      <c r="B1629" s="19" t="n"/>
      <c r="C1629" s="19" t="n"/>
      <c r="D1629" s="19" t="n"/>
      <c r="E1629" s="19" t="n"/>
      <c r="F1629" s="19" t="n"/>
      <c r="G1629" s="19" t="n"/>
      <c r="H1629" s="19" t="n"/>
      <c r="I1629" s="19" t="n"/>
      <c r="J1629" s="19" t="n"/>
      <c r="K1629" s="19" t="n"/>
      <c r="L1629" s="19" t="n"/>
      <c r="M1629" s="19" t="n"/>
      <c r="N1629" s="19" t="n"/>
      <c r="O1629" s="19" t="n"/>
      <c r="P1629" s="19" t="n"/>
    </row>
    <row r="1630">
      <c r="A1630" s="19" t="n"/>
      <c r="B1630" s="19" t="n"/>
      <c r="C1630" s="19" t="n"/>
      <c r="D1630" s="19" t="n"/>
      <c r="E1630" s="19" t="n"/>
      <c r="F1630" s="19" t="n"/>
      <c r="G1630" s="19" t="n"/>
      <c r="H1630" s="19" t="n"/>
      <c r="I1630" s="19" t="n"/>
      <c r="J1630" s="19" t="n"/>
      <c r="K1630" s="19" t="n"/>
      <c r="L1630" s="19" t="n"/>
      <c r="M1630" s="19" t="n"/>
      <c r="N1630" s="19" t="n"/>
      <c r="O1630" s="19" t="n"/>
      <c r="P1630" s="19" t="n"/>
    </row>
    <row r="1631">
      <c r="A1631" s="19" t="n"/>
      <c r="B1631" s="19" t="n"/>
      <c r="C1631" s="19" t="n"/>
      <c r="D1631" s="19" t="n"/>
      <c r="E1631" s="19" t="n"/>
      <c r="F1631" s="19" t="n"/>
      <c r="G1631" s="19" t="n"/>
      <c r="H1631" s="19" t="n"/>
      <c r="I1631" s="19" t="n"/>
      <c r="J1631" s="19" t="n"/>
      <c r="K1631" s="19" t="n"/>
      <c r="L1631" s="19" t="n"/>
      <c r="M1631" s="19" t="n"/>
      <c r="N1631" s="19" t="n"/>
      <c r="O1631" s="19" t="n"/>
      <c r="P1631" s="19" t="n"/>
    </row>
    <row r="1632">
      <c r="A1632" s="19" t="n"/>
      <c r="B1632" s="19" t="n"/>
      <c r="C1632" s="19" t="n"/>
      <c r="D1632" s="19" t="n"/>
      <c r="E1632" s="19" t="n"/>
      <c r="F1632" s="19" t="n"/>
      <c r="G1632" s="19" t="n"/>
      <c r="H1632" s="19" t="n"/>
      <c r="I1632" s="19" t="n"/>
      <c r="J1632" s="19" t="n"/>
      <c r="K1632" s="19" t="n"/>
      <c r="L1632" s="19" t="n"/>
      <c r="M1632" s="19" t="n"/>
      <c r="N1632" s="19" t="n"/>
      <c r="O1632" s="19" t="n"/>
      <c r="P1632" s="19" t="n"/>
    </row>
    <row r="1633">
      <c r="A1633" s="19" t="n"/>
      <c r="B1633" s="19" t="n"/>
      <c r="C1633" s="19" t="n"/>
      <c r="D1633" s="19" t="n"/>
      <c r="E1633" s="19" t="n"/>
      <c r="F1633" s="19" t="n"/>
      <c r="G1633" s="19" t="n"/>
      <c r="H1633" s="19" t="n"/>
      <c r="I1633" s="19" t="n"/>
      <c r="J1633" s="19" t="n"/>
      <c r="K1633" s="19" t="n"/>
      <c r="L1633" s="19" t="n"/>
      <c r="M1633" s="19" t="n"/>
      <c r="N1633" s="19" t="n"/>
      <c r="O1633" s="19" t="n"/>
      <c r="P1633" s="19" t="n"/>
    </row>
    <row r="1634">
      <c r="A1634" s="19" t="n"/>
      <c r="B1634" s="19" t="n"/>
      <c r="C1634" s="19" t="n"/>
      <c r="D1634" s="19" t="n"/>
      <c r="E1634" s="19" t="n"/>
      <c r="F1634" s="19" t="n"/>
      <c r="G1634" s="19" t="n"/>
      <c r="H1634" s="19" t="n"/>
      <c r="I1634" s="19" t="n"/>
      <c r="J1634" s="19" t="n"/>
      <c r="K1634" s="19" t="n"/>
      <c r="L1634" s="19" t="n"/>
      <c r="M1634" s="19" t="n"/>
      <c r="N1634" s="19" t="n"/>
      <c r="O1634" s="19" t="n"/>
      <c r="P1634" s="19" t="n"/>
    </row>
    <row r="1635">
      <c r="A1635" s="19" t="n"/>
      <c r="B1635" s="19" t="n"/>
      <c r="C1635" s="19" t="n"/>
      <c r="D1635" s="19" t="n"/>
      <c r="E1635" s="19" t="n"/>
      <c r="F1635" s="19" t="n"/>
      <c r="G1635" s="19" t="n"/>
      <c r="H1635" s="19" t="n"/>
      <c r="I1635" s="19" t="n"/>
      <c r="J1635" s="19" t="n"/>
      <c r="K1635" s="19" t="n"/>
      <c r="L1635" s="19" t="n"/>
      <c r="M1635" s="19" t="n"/>
      <c r="N1635" s="19" t="n"/>
      <c r="O1635" s="19" t="n"/>
      <c r="P1635" s="19" t="n"/>
    </row>
    <row r="1636">
      <c r="A1636" s="19" t="n"/>
      <c r="B1636" s="19" t="n"/>
      <c r="C1636" s="19" t="n"/>
      <c r="D1636" s="19" t="n"/>
      <c r="E1636" s="19" t="n"/>
      <c r="F1636" s="19" t="n"/>
      <c r="G1636" s="19" t="n"/>
      <c r="H1636" s="19" t="n"/>
      <c r="I1636" s="19" t="n"/>
      <c r="J1636" s="19" t="n"/>
      <c r="K1636" s="19" t="n"/>
      <c r="L1636" s="19" t="n"/>
      <c r="M1636" s="19" t="n"/>
      <c r="N1636" s="19" t="n"/>
      <c r="O1636" s="19" t="n"/>
      <c r="P1636" s="19" t="n"/>
    </row>
    <row r="1637">
      <c r="A1637" s="19" t="n"/>
      <c r="B1637" s="19" t="n"/>
      <c r="C1637" s="19" t="n"/>
      <c r="D1637" s="19" t="n"/>
      <c r="E1637" s="19" t="n"/>
      <c r="F1637" s="19" t="n"/>
      <c r="G1637" s="19" t="n"/>
      <c r="H1637" s="19" t="n"/>
      <c r="I1637" s="19" t="n"/>
      <c r="J1637" s="19" t="n"/>
      <c r="K1637" s="19" t="n"/>
      <c r="L1637" s="19" t="n"/>
      <c r="M1637" s="19" t="n"/>
      <c r="N1637" s="19" t="n"/>
      <c r="O1637" s="19" t="n"/>
      <c r="P1637" s="19" t="n"/>
    </row>
    <row r="1638">
      <c r="A1638" s="19" t="n"/>
      <c r="B1638" s="19" t="n"/>
      <c r="C1638" s="19" t="n"/>
      <c r="D1638" s="19" t="n"/>
      <c r="E1638" s="19" t="n"/>
      <c r="F1638" s="19" t="n"/>
      <c r="G1638" s="19" t="n"/>
      <c r="H1638" s="19" t="n"/>
      <c r="I1638" s="19" t="n"/>
      <c r="J1638" s="19" t="n"/>
      <c r="K1638" s="19" t="n"/>
      <c r="L1638" s="19" t="n"/>
      <c r="M1638" s="19" t="n"/>
      <c r="N1638" s="19" t="n"/>
      <c r="O1638" s="19" t="n"/>
      <c r="P1638" s="19" t="n"/>
    </row>
    <row r="1639">
      <c r="A1639" s="19" t="n"/>
      <c r="B1639" s="19" t="n"/>
      <c r="C1639" s="19" t="n"/>
      <c r="D1639" s="19" t="n"/>
      <c r="E1639" s="19" t="n"/>
      <c r="F1639" s="19" t="n"/>
      <c r="G1639" s="19" t="n"/>
      <c r="H1639" s="19" t="n"/>
      <c r="I1639" s="19" t="n"/>
      <c r="J1639" s="19" t="n"/>
      <c r="K1639" s="19" t="n"/>
      <c r="L1639" s="19" t="n"/>
      <c r="M1639" s="19" t="n"/>
      <c r="N1639" s="19" t="n"/>
      <c r="O1639" s="19" t="n"/>
      <c r="P1639" s="19" t="n"/>
    </row>
    <row r="1640">
      <c r="A1640" s="19" t="n"/>
      <c r="B1640" s="19" t="n"/>
      <c r="C1640" s="19" t="n"/>
      <c r="D1640" s="19" t="n"/>
      <c r="E1640" s="19" t="n"/>
      <c r="F1640" s="19" t="n"/>
      <c r="G1640" s="19" t="n"/>
      <c r="H1640" s="19" t="n"/>
      <c r="I1640" s="19" t="n"/>
      <c r="J1640" s="19" t="n"/>
      <c r="K1640" s="19" t="n"/>
      <c r="L1640" s="19" t="n"/>
      <c r="M1640" s="19" t="n"/>
      <c r="N1640" s="19" t="n"/>
      <c r="O1640" s="19" t="n"/>
      <c r="P1640" s="19" t="n"/>
    </row>
    <row r="1641">
      <c r="A1641" s="19" t="n"/>
      <c r="B1641" s="19" t="n"/>
      <c r="C1641" s="19" t="n"/>
      <c r="D1641" s="19" t="n"/>
      <c r="E1641" s="19" t="n"/>
      <c r="F1641" s="19" t="n"/>
      <c r="G1641" s="19" t="n"/>
      <c r="H1641" s="19" t="n"/>
      <c r="I1641" s="19" t="n"/>
      <c r="J1641" s="19" t="n"/>
      <c r="K1641" s="19" t="n"/>
      <c r="L1641" s="19" t="n"/>
      <c r="M1641" s="19" t="n"/>
      <c r="N1641" s="19" t="n"/>
      <c r="O1641" s="19" t="n"/>
      <c r="P1641" s="19" t="n"/>
    </row>
    <row r="1642">
      <c r="A1642" s="19" t="n"/>
      <c r="B1642" s="19" t="n"/>
      <c r="C1642" s="19" t="n"/>
      <c r="D1642" s="19" t="n"/>
      <c r="E1642" s="19" t="n"/>
      <c r="F1642" s="19" t="n"/>
      <c r="G1642" s="19" t="n"/>
      <c r="H1642" s="19" t="n"/>
      <c r="I1642" s="19" t="n"/>
      <c r="J1642" s="19" t="n"/>
      <c r="K1642" s="19" t="n"/>
      <c r="L1642" s="19" t="n"/>
      <c r="M1642" s="19" t="n"/>
      <c r="N1642" s="19" t="n"/>
      <c r="O1642" s="19" t="n"/>
      <c r="P1642" s="19" t="n"/>
    </row>
    <row r="1643">
      <c r="A1643" s="19" t="n"/>
      <c r="B1643" s="19" t="n"/>
      <c r="C1643" s="19" t="n"/>
      <c r="D1643" s="19" t="n"/>
      <c r="E1643" s="19" t="n"/>
      <c r="F1643" s="19" t="n"/>
      <c r="G1643" s="19" t="n"/>
      <c r="H1643" s="19" t="n"/>
      <c r="I1643" s="19" t="n"/>
      <c r="J1643" s="19" t="n"/>
      <c r="K1643" s="19" t="n"/>
      <c r="L1643" s="19" t="n"/>
      <c r="M1643" s="19" t="n"/>
      <c r="N1643" s="19" t="n"/>
      <c r="O1643" s="19" t="n"/>
      <c r="P1643" s="19" t="n"/>
    </row>
    <row r="1644">
      <c r="A1644" s="19" t="n"/>
      <c r="B1644" s="19" t="n"/>
      <c r="C1644" s="19" t="n"/>
      <c r="D1644" s="19" t="n"/>
      <c r="E1644" s="19" t="n"/>
      <c r="F1644" s="19" t="n"/>
      <c r="G1644" s="19" t="n"/>
      <c r="H1644" s="19" t="n"/>
      <c r="I1644" s="19" t="n"/>
      <c r="J1644" s="19" t="n"/>
      <c r="K1644" s="19" t="n"/>
      <c r="L1644" s="19" t="n"/>
      <c r="M1644" s="19" t="n"/>
      <c r="N1644" s="19" t="n"/>
      <c r="O1644" s="19" t="n"/>
      <c r="P1644" s="19" t="n"/>
    </row>
    <row r="1645">
      <c r="A1645" s="19" t="n"/>
      <c r="B1645" s="19" t="n"/>
      <c r="C1645" s="19" t="n"/>
      <c r="D1645" s="19" t="n"/>
      <c r="E1645" s="19" t="n"/>
      <c r="F1645" s="19" t="n"/>
      <c r="G1645" s="19" t="n"/>
      <c r="H1645" s="19" t="n"/>
      <c r="I1645" s="19" t="n"/>
      <c r="J1645" s="19" t="n"/>
      <c r="K1645" s="19" t="n"/>
      <c r="L1645" s="19" t="n"/>
      <c r="M1645" s="19" t="n"/>
      <c r="N1645" s="19" t="n"/>
      <c r="O1645" s="19" t="n"/>
      <c r="P1645" s="19" t="n"/>
    </row>
    <row r="1646">
      <c r="A1646" s="19" t="n"/>
      <c r="B1646" s="19" t="n"/>
      <c r="C1646" s="19" t="n"/>
      <c r="D1646" s="19" t="n"/>
      <c r="E1646" s="19" t="n"/>
      <c r="F1646" s="19" t="n"/>
      <c r="G1646" s="19" t="n"/>
      <c r="H1646" s="19" t="n"/>
      <c r="I1646" s="19" t="n"/>
      <c r="J1646" s="19" t="n"/>
      <c r="K1646" s="19" t="n"/>
      <c r="L1646" s="19" t="n"/>
      <c r="M1646" s="19" t="n"/>
      <c r="N1646" s="19" t="n"/>
      <c r="O1646" s="19" t="n"/>
      <c r="P1646" s="19" t="n"/>
    </row>
    <row r="1647">
      <c r="A1647" s="19" t="n"/>
      <c r="B1647" s="19" t="n"/>
      <c r="C1647" s="19" t="n"/>
      <c r="D1647" s="19" t="n"/>
      <c r="E1647" s="19" t="n"/>
      <c r="F1647" s="19" t="n"/>
      <c r="G1647" s="19" t="n"/>
      <c r="H1647" s="19" t="n"/>
      <c r="I1647" s="19" t="n"/>
      <c r="J1647" s="19" t="n"/>
      <c r="K1647" s="19" t="n"/>
      <c r="L1647" s="19" t="n"/>
      <c r="M1647" s="19" t="n"/>
      <c r="N1647" s="19" t="n"/>
      <c r="O1647" s="19" t="n"/>
      <c r="P1647" s="19" t="n"/>
    </row>
    <row r="1648">
      <c r="A1648" s="19" t="n"/>
      <c r="B1648" s="19" t="n"/>
      <c r="C1648" s="19" t="n"/>
      <c r="D1648" s="19" t="n"/>
      <c r="E1648" s="19" t="n"/>
      <c r="F1648" s="19" t="n"/>
      <c r="G1648" s="19" t="n"/>
      <c r="H1648" s="19" t="n"/>
      <c r="I1648" s="19" t="n"/>
      <c r="J1648" s="19" t="n"/>
      <c r="K1648" s="19" t="n"/>
      <c r="L1648" s="19" t="n"/>
      <c r="M1648" s="19" t="n"/>
      <c r="N1648" s="19" t="n"/>
      <c r="O1648" s="19" t="n"/>
      <c r="P1648" s="19" t="n"/>
    </row>
    <row r="1649">
      <c r="A1649" s="19" t="n"/>
      <c r="B1649" s="19" t="n"/>
      <c r="C1649" s="19" t="n"/>
      <c r="D1649" s="19" t="n"/>
      <c r="E1649" s="19" t="n"/>
      <c r="F1649" s="19" t="n"/>
      <c r="G1649" s="19" t="n"/>
      <c r="H1649" s="19" t="n"/>
      <c r="I1649" s="19" t="n"/>
      <c r="J1649" s="19" t="n"/>
      <c r="K1649" s="19" t="n"/>
      <c r="L1649" s="19" t="n"/>
      <c r="M1649" s="19" t="n"/>
      <c r="N1649" s="19" t="n"/>
      <c r="O1649" s="19" t="n"/>
      <c r="P1649" s="19" t="n"/>
    </row>
    <row r="1650">
      <c r="A1650" s="19" t="n"/>
      <c r="B1650" s="19" t="n"/>
      <c r="C1650" s="19" t="n"/>
      <c r="D1650" s="19" t="n"/>
      <c r="E1650" s="19" t="n"/>
      <c r="F1650" s="19" t="n"/>
      <c r="G1650" s="19" t="n"/>
      <c r="H1650" s="19" t="n"/>
      <c r="I1650" s="19" t="n"/>
      <c r="J1650" s="19" t="n"/>
      <c r="K1650" s="19" t="n"/>
      <c r="L1650" s="19" t="n"/>
      <c r="M1650" s="19" t="n"/>
      <c r="N1650" s="19" t="n"/>
      <c r="O1650" s="19" t="n"/>
      <c r="P1650" s="19" t="n"/>
    </row>
    <row r="1651">
      <c r="A1651" s="19" t="n"/>
      <c r="B1651" s="19" t="n"/>
      <c r="C1651" s="19" t="n"/>
      <c r="D1651" s="19" t="n"/>
      <c r="E1651" s="19" t="n"/>
      <c r="F1651" s="19" t="n"/>
      <c r="G1651" s="19" t="n"/>
      <c r="H1651" s="19" t="n"/>
      <c r="I1651" s="19" t="n"/>
      <c r="J1651" s="19" t="n"/>
      <c r="K1651" s="19" t="n"/>
      <c r="L1651" s="19" t="n"/>
      <c r="M1651" s="19" t="n"/>
      <c r="N1651" s="19" t="n"/>
      <c r="O1651" s="19" t="n"/>
      <c r="P1651" s="19" t="n"/>
    </row>
    <row r="1652">
      <c r="A1652" s="19" t="n"/>
      <c r="B1652" s="19" t="n"/>
      <c r="C1652" s="19" t="n"/>
      <c r="D1652" s="19" t="n"/>
      <c r="E1652" s="19" t="n"/>
      <c r="F1652" s="19" t="n"/>
      <c r="G1652" s="19" t="n"/>
      <c r="H1652" s="19" t="n"/>
      <c r="I1652" s="19" t="n"/>
      <c r="J1652" s="19" t="n"/>
      <c r="K1652" s="19" t="n"/>
      <c r="L1652" s="19" t="n"/>
      <c r="M1652" s="19" t="n"/>
      <c r="N1652" s="19" t="n"/>
      <c r="O1652" s="19" t="n"/>
      <c r="P1652" s="19" t="n"/>
    </row>
    <row r="1653">
      <c r="A1653" s="19" t="n"/>
      <c r="B1653" s="19" t="n"/>
      <c r="C1653" s="19" t="n"/>
      <c r="D1653" s="19" t="n"/>
      <c r="E1653" s="19" t="n"/>
      <c r="F1653" s="19" t="n"/>
      <c r="G1653" s="19" t="n"/>
      <c r="H1653" s="19" t="n"/>
      <c r="I1653" s="19" t="n"/>
      <c r="J1653" s="19" t="n"/>
      <c r="K1653" s="19" t="n"/>
      <c r="L1653" s="19" t="n"/>
      <c r="M1653" s="19" t="n"/>
      <c r="N1653" s="19" t="n"/>
      <c r="O1653" s="19" t="n"/>
      <c r="P1653" s="19" t="n"/>
    </row>
    <row r="1654">
      <c r="A1654" s="19" t="n"/>
      <c r="B1654" s="19" t="n"/>
      <c r="C1654" s="19" t="n"/>
      <c r="D1654" s="19" t="n"/>
      <c r="E1654" s="19" t="n"/>
      <c r="F1654" s="19" t="n"/>
      <c r="G1654" s="19" t="n"/>
      <c r="H1654" s="19" t="n"/>
      <c r="I1654" s="19" t="n"/>
      <c r="J1654" s="19" t="n"/>
      <c r="K1654" s="19" t="n"/>
      <c r="L1654" s="19" t="n"/>
      <c r="M1654" s="19" t="n"/>
      <c r="N1654" s="19" t="n"/>
      <c r="O1654" s="19" t="n"/>
      <c r="P1654" s="19" t="n"/>
    </row>
    <row r="1655">
      <c r="A1655" s="19" t="n"/>
      <c r="B1655" s="19" t="n"/>
      <c r="C1655" s="19" t="n"/>
      <c r="D1655" s="19" t="n"/>
      <c r="E1655" s="19" t="n"/>
      <c r="F1655" s="19" t="n"/>
      <c r="G1655" s="19" t="n"/>
      <c r="H1655" s="19" t="n"/>
      <c r="I1655" s="19" t="n"/>
      <c r="J1655" s="19" t="n"/>
      <c r="K1655" s="19" t="n"/>
      <c r="L1655" s="19" t="n"/>
      <c r="M1655" s="19" t="n"/>
      <c r="N1655" s="19" t="n"/>
      <c r="O1655" s="19" t="n"/>
      <c r="P1655" s="19" t="n"/>
    </row>
    <row r="1656">
      <c r="A1656" s="19" t="n"/>
      <c r="B1656" s="19" t="n"/>
      <c r="C1656" s="19" t="n"/>
      <c r="D1656" s="19" t="n"/>
      <c r="E1656" s="19" t="n"/>
      <c r="F1656" s="19" t="n"/>
      <c r="G1656" s="19" t="n"/>
      <c r="H1656" s="19" t="n"/>
      <c r="I1656" s="19" t="n"/>
      <c r="J1656" s="19" t="n"/>
      <c r="K1656" s="19" t="n"/>
      <c r="L1656" s="19" t="n"/>
      <c r="M1656" s="19" t="n"/>
      <c r="N1656" s="19" t="n"/>
      <c r="O1656" s="19" t="n"/>
      <c r="P1656" s="19" t="n"/>
    </row>
    <row r="1657">
      <c r="A1657" s="19" t="n"/>
      <c r="B1657" s="19" t="n"/>
      <c r="C1657" s="19" t="n"/>
      <c r="D1657" s="19" t="n"/>
      <c r="E1657" s="19" t="n"/>
      <c r="F1657" s="19" t="n"/>
      <c r="G1657" s="19" t="n"/>
      <c r="H1657" s="19" t="n"/>
      <c r="I1657" s="19" t="n"/>
      <c r="J1657" s="19" t="n"/>
      <c r="K1657" s="19" t="n"/>
      <c r="L1657" s="19" t="n"/>
      <c r="M1657" s="19" t="n"/>
      <c r="N1657" s="19" t="n"/>
      <c r="O1657" s="19" t="n"/>
      <c r="P1657" s="19" t="n"/>
    </row>
    <row r="1658">
      <c r="A1658" s="19" t="n"/>
      <c r="B1658" s="19" t="n"/>
      <c r="C1658" s="19" t="n"/>
      <c r="D1658" s="19" t="n"/>
      <c r="E1658" s="19" t="n"/>
      <c r="F1658" s="19" t="n"/>
      <c r="G1658" s="19" t="n"/>
      <c r="H1658" s="19" t="n"/>
      <c r="I1658" s="19" t="n"/>
      <c r="J1658" s="19" t="n"/>
      <c r="K1658" s="19" t="n"/>
      <c r="L1658" s="19" t="n"/>
      <c r="M1658" s="19" t="n"/>
      <c r="N1658" s="19" t="n"/>
      <c r="O1658" s="19" t="n"/>
      <c r="P1658" s="19" t="n"/>
    </row>
    <row r="1659">
      <c r="A1659" s="19" t="n"/>
      <c r="B1659" s="19" t="n"/>
      <c r="C1659" s="19" t="n"/>
      <c r="D1659" s="19" t="n"/>
      <c r="E1659" s="19" t="n"/>
      <c r="F1659" s="19" t="n"/>
      <c r="G1659" s="19" t="n"/>
      <c r="H1659" s="19" t="n"/>
      <c r="I1659" s="19" t="n"/>
      <c r="J1659" s="19" t="n"/>
      <c r="K1659" s="19" t="n"/>
      <c r="L1659" s="19" t="n"/>
      <c r="M1659" s="19" t="n"/>
      <c r="N1659" s="19" t="n"/>
      <c r="O1659" s="19" t="n"/>
      <c r="P1659" s="19" t="n"/>
    </row>
    <row r="1660">
      <c r="A1660" s="19" t="n"/>
      <c r="B1660" s="19" t="n"/>
      <c r="C1660" s="19" t="n"/>
      <c r="D1660" s="19" t="n"/>
      <c r="E1660" s="19" t="n"/>
      <c r="F1660" s="19" t="n"/>
      <c r="G1660" s="19" t="n"/>
      <c r="H1660" s="19" t="n"/>
      <c r="I1660" s="19" t="n"/>
      <c r="J1660" s="19" t="n"/>
      <c r="K1660" s="19" t="n"/>
      <c r="L1660" s="19" t="n"/>
      <c r="M1660" s="19" t="n"/>
      <c r="N1660" s="19" t="n"/>
      <c r="O1660" s="19" t="n"/>
      <c r="P1660" s="19" t="n"/>
    </row>
    <row r="1661">
      <c r="A1661" s="19" t="n"/>
      <c r="B1661" s="19" t="n"/>
      <c r="C1661" s="19" t="n"/>
      <c r="D1661" s="19" t="n"/>
      <c r="E1661" s="19" t="n"/>
      <c r="F1661" s="19" t="n"/>
      <c r="G1661" s="19" t="n"/>
      <c r="H1661" s="19" t="n"/>
      <c r="I1661" s="19" t="n"/>
      <c r="J1661" s="19" t="n"/>
      <c r="K1661" s="19" t="n"/>
      <c r="L1661" s="19" t="n"/>
      <c r="M1661" s="19" t="n"/>
      <c r="N1661" s="19" t="n"/>
      <c r="O1661" s="19" t="n"/>
      <c r="P1661" s="19" t="n"/>
    </row>
    <row r="1662">
      <c r="A1662" s="19" t="n"/>
      <c r="B1662" s="19" t="n"/>
      <c r="C1662" s="19" t="n"/>
      <c r="D1662" s="19" t="n"/>
      <c r="E1662" s="19" t="n"/>
      <c r="F1662" s="19" t="n"/>
      <c r="G1662" s="19" t="n"/>
      <c r="H1662" s="19" t="n"/>
      <c r="I1662" s="19" t="n"/>
      <c r="J1662" s="19" t="n"/>
      <c r="K1662" s="19" t="n"/>
      <c r="L1662" s="19" t="n"/>
      <c r="M1662" s="19" t="n"/>
      <c r="N1662" s="19" t="n"/>
      <c r="O1662" s="19" t="n"/>
      <c r="P1662" s="19" t="n"/>
    </row>
    <row r="1663">
      <c r="A1663" s="19" t="n"/>
      <c r="B1663" s="19" t="n"/>
      <c r="C1663" s="19" t="n"/>
      <c r="D1663" s="19" t="n"/>
      <c r="E1663" s="19" t="n"/>
      <c r="F1663" s="19" t="n"/>
      <c r="G1663" s="19" t="n"/>
      <c r="H1663" s="19" t="n"/>
      <c r="I1663" s="19" t="n"/>
      <c r="J1663" s="19" t="n"/>
      <c r="K1663" s="19" t="n"/>
      <c r="L1663" s="19" t="n"/>
      <c r="M1663" s="19" t="n"/>
      <c r="N1663" s="19" t="n"/>
      <c r="O1663" s="19" t="n"/>
      <c r="P1663" s="19" t="n"/>
    </row>
    <row r="1664">
      <c r="A1664" s="19" t="n"/>
      <c r="B1664" s="19" t="n"/>
      <c r="C1664" s="19" t="n"/>
      <c r="D1664" s="19" t="n"/>
      <c r="E1664" s="19" t="n"/>
      <c r="F1664" s="19" t="n"/>
      <c r="G1664" s="19" t="n"/>
      <c r="H1664" s="19" t="n"/>
      <c r="I1664" s="19" t="n"/>
      <c r="J1664" s="19" t="n"/>
      <c r="K1664" s="19" t="n"/>
      <c r="L1664" s="19" t="n"/>
      <c r="M1664" s="19" t="n"/>
      <c r="N1664" s="19" t="n"/>
      <c r="O1664" s="19" t="n"/>
      <c r="P1664" s="19" t="n"/>
    </row>
    <row r="1665">
      <c r="A1665" s="19" t="n"/>
      <c r="B1665" s="19" t="n"/>
      <c r="C1665" s="19" t="n"/>
      <c r="D1665" s="19" t="n"/>
      <c r="E1665" s="19" t="n"/>
      <c r="F1665" s="19" t="n"/>
      <c r="G1665" s="19" t="n"/>
      <c r="H1665" s="19" t="n"/>
      <c r="I1665" s="19" t="n"/>
      <c r="J1665" s="19" t="n"/>
      <c r="K1665" s="19" t="n"/>
      <c r="L1665" s="19" t="n"/>
      <c r="M1665" s="19" t="n"/>
      <c r="N1665" s="19" t="n"/>
      <c r="O1665" s="19" t="n"/>
      <c r="P1665" s="19" t="n"/>
    </row>
    <row r="1666">
      <c r="A1666" s="19" t="n"/>
      <c r="B1666" s="19" t="n"/>
      <c r="C1666" s="19" t="n"/>
      <c r="D1666" s="19" t="n"/>
      <c r="E1666" s="19" t="n"/>
      <c r="F1666" s="19" t="n"/>
      <c r="G1666" s="19" t="n"/>
      <c r="H1666" s="19" t="n"/>
      <c r="I1666" s="19" t="n"/>
      <c r="J1666" s="19" t="n"/>
      <c r="K1666" s="19" t="n"/>
      <c r="L1666" s="19" t="n"/>
      <c r="M1666" s="19" t="n"/>
      <c r="N1666" s="19" t="n"/>
      <c r="O1666" s="19" t="n"/>
      <c r="P1666" s="19" t="n"/>
    </row>
    <row r="1667">
      <c r="A1667" s="19" t="n"/>
      <c r="B1667" s="19" t="n"/>
      <c r="C1667" s="19" t="n"/>
      <c r="D1667" s="19" t="n"/>
      <c r="E1667" s="19" t="n"/>
      <c r="F1667" s="19" t="n"/>
      <c r="G1667" s="19" t="n"/>
      <c r="H1667" s="19" t="n"/>
      <c r="I1667" s="19" t="n"/>
      <c r="J1667" s="19" t="n"/>
      <c r="K1667" s="19" t="n"/>
      <c r="L1667" s="19" t="n"/>
      <c r="M1667" s="19" t="n"/>
      <c r="N1667" s="19" t="n"/>
      <c r="O1667" s="19" t="n"/>
      <c r="P1667" s="19" t="n"/>
    </row>
    <row r="1668">
      <c r="A1668" s="19" t="n"/>
      <c r="B1668" s="19" t="n"/>
      <c r="C1668" s="19" t="n"/>
      <c r="D1668" s="19" t="n"/>
      <c r="E1668" s="19" t="n"/>
      <c r="F1668" s="19" t="n"/>
      <c r="G1668" s="19" t="n"/>
      <c r="H1668" s="19" t="n"/>
      <c r="I1668" s="19" t="n"/>
      <c r="J1668" s="19" t="n"/>
      <c r="K1668" s="19" t="n"/>
      <c r="L1668" s="19" t="n"/>
      <c r="M1668" s="19" t="n"/>
      <c r="N1668" s="19" t="n"/>
      <c r="O1668" s="19" t="n"/>
      <c r="P1668" s="19" t="n"/>
    </row>
    <row r="1669">
      <c r="A1669" s="19" t="n"/>
      <c r="B1669" s="19" t="n"/>
      <c r="C1669" s="19" t="n"/>
      <c r="D1669" s="19" t="n"/>
      <c r="E1669" s="19" t="n"/>
      <c r="F1669" s="19" t="n"/>
      <c r="G1669" s="19" t="n"/>
      <c r="H1669" s="19" t="n"/>
      <c r="I1669" s="19" t="n"/>
      <c r="J1669" s="19" t="n"/>
      <c r="K1669" s="19" t="n"/>
      <c r="L1669" s="19" t="n"/>
      <c r="M1669" s="19" t="n"/>
      <c r="N1669" s="19" t="n"/>
      <c r="O1669" s="19" t="n"/>
      <c r="P1669" s="19" t="n"/>
    </row>
    <row r="1670">
      <c r="A1670" s="19" t="n"/>
      <c r="B1670" s="19" t="n"/>
      <c r="C1670" s="19" t="n"/>
      <c r="D1670" s="19" t="n"/>
      <c r="E1670" s="19" t="n"/>
      <c r="F1670" s="19" t="n"/>
      <c r="G1670" s="19" t="n"/>
      <c r="H1670" s="19" t="n"/>
      <c r="I1670" s="19" t="n"/>
      <c r="J1670" s="19" t="n"/>
      <c r="K1670" s="19" t="n"/>
      <c r="L1670" s="19" t="n"/>
      <c r="M1670" s="19" t="n"/>
      <c r="N1670" s="19" t="n"/>
      <c r="O1670" s="19" t="n"/>
      <c r="P1670" s="19" t="n"/>
    </row>
    <row r="1671">
      <c r="A1671" s="19" t="n"/>
      <c r="B1671" s="19" t="n"/>
      <c r="C1671" s="19" t="n"/>
      <c r="D1671" s="19" t="n"/>
      <c r="E1671" s="19" t="n"/>
      <c r="F1671" s="19" t="n"/>
      <c r="G1671" s="19" t="n"/>
      <c r="H1671" s="19" t="n"/>
      <c r="I1671" s="19" t="n"/>
      <c r="J1671" s="19" t="n"/>
      <c r="K1671" s="19" t="n"/>
      <c r="L1671" s="19" t="n"/>
      <c r="M1671" s="19" t="n"/>
      <c r="N1671" s="19" t="n"/>
      <c r="O1671" s="19" t="n"/>
      <c r="P1671" s="19" t="n"/>
    </row>
    <row r="1672">
      <c r="A1672" s="19" t="n"/>
      <c r="B1672" s="19" t="n"/>
      <c r="C1672" s="19" t="n"/>
      <c r="D1672" s="19" t="n"/>
      <c r="E1672" s="19" t="n"/>
      <c r="F1672" s="19" t="n"/>
      <c r="G1672" s="19" t="n"/>
      <c r="H1672" s="19" t="n"/>
      <c r="I1672" s="19" t="n"/>
      <c r="J1672" s="19" t="n"/>
      <c r="K1672" s="19" t="n"/>
      <c r="L1672" s="19" t="n"/>
      <c r="M1672" s="19" t="n"/>
      <c r="N1672" s="19" t="n"/>
      <c r="O1672" s="19" t="n"/>
      <c r="P1672" s="19" t="n"/>
    </row>
    <row r="1673">
      <c r="A1673" s="19" t="n"/>
      <c r="B1673" s="19" t="n"/>
      <c r="C1673" s="19" t="n"/>
      <c r="D1673" s="19" t="n"/>
      <c r="E1673" s="19" t="n"/>
      <c r="F1673" s="19" t="n"/>
      <c r="G1673" s="19" t="n"/>
      <c r="H1673" s="19" t="n"/>
      <c r="I1673" s="19" t="n"/>
      <c r="J1673" s="19" t="n"/>
      <c r="K1673" s="19" t="n"/>
      <c r="L1673" s="19" t="n"/>
      <c r="M1673" s="19" t="n"/>
      <c r="N1673" s="19" t="n"/>
      <c r="O1673" s="19" t="n"/>
      <c r="P1673" s="19" t="n"/>
    </row>
    <row r="1674">
      <c r="A1674" s="19" t="n"/>
      <c r="B1674" s="19" t="n"/>
      <c r="C1674" s="19" t="n"/>
      <c r="D1674" s="19" t="n"/>
      <c r="E1674" s="19" t="n"/>
      <c r="F1674" s="19" t="n"/>
      <c r="G1674" s="19" t="n"/>
      <c r="H1674" s="19" t="n"/>
      <c r="I1674" s="19" t="n"/>
      <c r="J1674" s="19" t="n"/>
      <c r="K1674" s="19" t="n"/>
      <c r="L1674" s="19" t="n"/>
      <c r="M1674" s="19" t="n"/>
      <c r="N1674" s="19" t="n"/>
      <c r="O1674" s="19" t="n"/>
      <c r="P1674" s="19" t="n"/>
    </row>
    <row r="1675">
      <c r="A1675" s="19" t="n"/>
      <c r="B1675" s="19" t="n"/>
      <c r="C1675" s="19" t="n"/>
      <c r="D1675" s="19" t="n"/>
      <c r="E1675" s="19" t="n"/>
      <c r="F1675" s="19" t="n"/>
      <c r="G1675" s="19" t="n"/>
      <c r="H1675" s="19" t="n"/>
      <c r="I1675" s="19" t="n"/>
      <c r="J1675" s="19" t="n"/>
      <c r="K1675" s="19" t="n"/>
      <c r="L1675" s="19" t="n"/>
      <c r="M1675" s="19" t="n"/>
      <c r="N1675" s="19" t="n"/>
      <c r="O1675" s="19" t="n"/>
      <c r="P1675" s="19" t="n"/>
    </row>
    <row r="1676">
      <c r="A1676" s="19" t="n"/>
      <c r="B1676" s="19" t="n"/>
      <c r="C1676" s="19" t="n"/>
      <c r="D1676" s="19" t="n"/>
      <c r="E1676" s="19" t="n"/>
      <c r="F1676" s="19" t="n"/>
      <c r="G1676" s="19" t="n"/>
      <c r="H1676" s="19" t="n"/>
      <c r="I1676" s="19" t="n"/>
      <c r="J1676" s="19" t="n"/>
      <c r="K1676" s="19" t="n"/>
      <c r="L1676" s="19" t="n"/>
      <c r="M1676" s="19" t="n"/>
      <c r="N1676" s="19" t="n"/>
      <c r="O1676" s="19" t="n"/>
      <c r="P1676" s="19" t="n"/>
    </row>
    <row r="1677">
      <c r="A1677" s="19" t="n"/>
      <c r="B1677" s="19" t="n"/>
      <c r="C1677" s="19" t="n"/>
      <c r="D1677" s="19" t="n"/>
      <c r="E1677" s="19" t="n"/>
      <c r="F1677" s="19" t="n"/>
      <c r="G1677" s="19" t="n"/>
      <c r="H1677" s="19" t="n"/>
      <c r="I1677" s="19" t="n"/>
      <c r="J1677" s="19" t="n"/>
      <c r="K1677" s="19" t="n"/>
      <c r="L1677" s="19" t="n"/>
      <c r="M1677" s="19" t="n"/>
      <c r="N1677" s="19" t="n"/>
      <c r="O1677" s="19" t="n"/>
      <c r="P1677" s="19" t="n"/>
    </row>
    <row r="1678">
      <c r="A1678" s="19" t="n"/>
      <c r="B1678" s="19" t="n"/>
      <c r="C1678" s="19" t="n"/>
      <c r="D1678" s="19" t="n"/>
      <c r="E1678" s="19" t="n"/>
      <c r="F1678" s="19" t="n"/>
      <c r="G1678" s="19" t="n"/>
      <c r="H1678" s="19" t="n"/>
      <c r="I1678" s="19" t="n"/>
      <c r="J1678" s="19" t="n"/>
      <c r="K1678" s="19" t="n"/>
      <c r="L1678" s="19" t="n"/>
      <c r="M1678" s="19" t="n"/>
      <c r="N1678" s="19" t="n"/>
      <c r="O1678" s="19" t="n"/>
      <c r="P1678" s="19" t="n"/>
    </row>
    <row r="1679">
      <c r="A1679" s="19" t="n"/>
      <c r="B1679" s="19" t="n"/>
      <c r="C1679" s="19" t="n"/>
      <c r="D1679" s="19" t="n"/>
      <c r="E1679" s="19" t="n"/>
      <c r="F1679" s="19" t="n"/>
      <c r="G1679" s="19" t="n"/>
      <c r="H1679" s="19" t="n"/>
      <c r="I1679" s="19" t="n"/>
      <c r="J1679" s="19" t="n"/>
      <c r="K1679" s="19" t="n"/>
      <c r="L1679" s="19" t="n"/>
      <c r="M1679" s="19" t="n"/>
      <c r="N1679" s="19" t="n"/>
      <c r="O1679" s="19" t="n"/>
      <c r="P1679" s="19" t="n"/>
    </row>
    <row r="1680">
      <c r="A1680" s="19" t="n"/>
      <c r="B1680" s="19" t="n"/>
      <c r="C1680" s="19" t="n"/>
      <c r="D1680" s="19" t="n"/>
      <c r="E1680" s="19" t="n"/>
      <c r="F1680" s="19" t="n"/>
      <c r="G1680" s="19" t="n"/>
      <c r="H1680" s="19" t="n"/>
      <c r="I1680" s="19" t="n"/>
      <c r="J1680" s="19" t="n"/>
      <c r="K1680" s="19" t="n"/>
      <c r="L1680" s="19" t="n"/>
      <c r="M1680" s="19" t="n"/>
      <c r="N1680" s="19" t="n"/>
      <c r="O1680" s="19" t="n"/>
      <c r="P1680" s="19" t="n"/>
    </row>
    <row r="1681">
      <c r="A1681" s="19" t="n"/>
      <c r="B1681" s="19" t="n"/>
      <c r="C1681" s="19" t="n"/>
      <c r="D1681" s="19" t="n"/>
      <c r="E1681" s="19" t="n"/>
      <c r="F1681" s="19" t="n"/>
      <c r="G1681" s="19" t="n"/>
      <c r="H1681" s="19" t="n"/>
      <c r="I1681" s="19" t="n"/>
      <c r="J1681" s="19" t="n"/>
      <c r="K1681" s="19" t="n"/>
      <c r="L1681" s="19" t="n"/>
      <c r="M1681" s="19" t="n"/>
      <c r="N1681" s="19" t="n"/>
      <c r="O1681" s="19" t="n"/>
      <c r="P1681" s="19" t="n"/>
    </row>
    <row r="1682">
      <c r="A1682" s="19" t="n"/>
      <c r="B1682" s="19" t="n"/>
      <c r="C1682" s="19" t="n"/>
      <c r="D1682" s="19" t="n"/>
      <c r="E1682" s="19" t="n"/>
      <c r="F1682" s="19" t="n"/>
      <c r="G1682" s="19" t="n"/>
      <c r="H1682" s="19" t="n"/>
      <c r="I1682" s="19" t="n"/>
      <c r="J1682" s="19" t="n"/>
      <c r="K1682" s="19" t="n"/>
      <c r="L1682" s="19" t="n"/>
      <c r="M1682" s="19" t="n"/>
      <c r="N1682" s="19" t="n"/>
      <c r="O1682" s="19" t="n"/>
      <c r="P1682" s="19" t="n"/>
    </row>
    <row r="1683">
      <c r="A1683" s="19" t="n"/>
      <c r="B1683" s="19" t="n"/>
      <c r="C1683" s="19" t="n"/>
      <c r="D1683" s="19" t="n"/>
      <c r="E1683" s="19" t="n"/>
      <c r="F1683" s="19" t="n"/>
      <c r="G1683" s="19" t="n"/>
      <c r="H1683" s="19" t="n"/>
      <c r="I1683" s="19" t="n"/>
      <c r="J1683" s="19" t="n"/>
      <c r="K1683" s="19" t="n"/>
      <c r="L1683" s="19" t="n"/>
      <c r="M1683" s="19" t="n"/>
      <c r="N1683" s="19" t="n"/>
      <c r="O1683" s="19" t="n"/>
      <c r="P1683" s="19" t="n"/>
    </row>
    <row r="1684">
      <c r="A1684" s="19" t="n"/>
      <c r="B1684" s="19" t="n"/>
      <c r="C1684" s="19" t="n"/>
      <c r="D1684" s="19" t="n"/>
      <c r="E1684" s="19" t="n"/>
      <c r="F1684" s="19" t="n"/>
      <c r="G1684" s="19" t="n"/>
      <c r="H1684" s="19" t="n"/>
      <c r="I1684" s="19" t="n"/>
      <c r="J1684" s="19" t="n"/>
      <c r="K1684" s="19" t="n"/>
      <c r="L1684" s="19" t="n"/>
      <c r="M1684" s="19" t="n"/>
      <c r="N1684" s="19" t="n"/>
      <c r="O1684" s="19" t="n"/>
      <c r="P1684" s="19" t="n"/>
    </row>
    <row r="1685">
      <c r="A1685" s="19" t="n"/>
      <c r="B1685" s="19" t="n"/>
      <c r="C1685" s="19" t="n"/>
      <c r="D1685" s="19" t="n"/>
      <c r="E1685" s="19" t="n"/>
      <c r="F1685" s="19" t="n"/>
      <c r="G1685" s="19" t="n"/>
      <c r="H1685" s="19" t="n"/>
      <c r="I1685" s="19" t="n"/>
      <c r="J1685" s="19" t="n"/>
      <c r="K1685" s="19" t="n"/>
      <c r="L1685" s="19" t="n"/>
      <c r="M1685" s="19" t="n"/>
      <c r="N1685" s="19" t="n"/>
      <c r="O1685" s="19" t="n"/>
      <c r="P1685" s="19" t="n"/>
    </row>
    <row r="1686">
      <c r="A1686" s="19" t="n"/>
      <c r="B1686" s="19" t="n"/>
      <c r="C1686" s="19" t="n"/>
      <c r="D1686" s="19" t="n"/>
      <c r="E1686" s="19" t="n"/>
      <c r="F1686" s="19" t="n"/>
      <c r="G1686" s="19" t="n"/>
      <c r="H1686" s="19" t="n"/>
      <c r="I1686" s="19" t="n"/>
      <c r="J1686" s="19" t="n"/>
      <c r="K1686" s="19" t="n"/>
      <c r="L1686" s="19" t="n"/>
      <c r="M1686" s="19" t="n"/>
      <c r="N1686" s="19" t="n"/>
      <c r="O1686" s="19" t="n"/>
      <c r="P1686" s="19" t="n"/>
    </row>
    <row r="1687">
      <c r="A1687" s="19" t="n"/>
      <c r="B1687" s="19" t="n"/>
      <c r="C1687" s="19" t="n"/>
      <c r="D1687" s="19" t="n"/>
      <c r="E1687" s="19" t="n"/>
      <c r="F1687" s="19" t="n"/>
      <c r="G1687" s="19" t="n"/>
      <c r="H1687" s="19" t="n"/>
      <c r="I1687" s="19" t="n"/>
      <c r="J1687" s="19" t="n"/>
      <c r="K1687" s="19" t="n"/>
      <c r="L1687" s="19" t="n"/>
      <c r="M1687" s="19" t="n"/>
      <c r="N1687" s="19" t="n"/>
      <c r="O1687" s="19" t="n"/>
      <c r="P1687" s="19" t="n"/>
    </row>
    <row r="1688">
      <c r="A1688" s="19" t="n"/>
      <c r="B1688" s="19" t="n"/>
      <c r="C1688" s="19" t="n"/>
      <c r="D1688" s="19" t="n"/>
      <c r="E1688" s="19" t="n"/>
      <c r="F1688" s="19" t="n"/>
      <c r="G1688" s="19" t="n"/>
      <c r="H1688" s="19" t="n"/>
      <c r="I1688" s="19" t="n"/>
      <c r="J1688" s="19" t="n"/>
      <c r="K1688" s="19" t="n"/>
      <c r="L1688" s="19" t="n"/>
      <c r="M1688" s="19" t="n"/>
      <c r="N1688" s="19" t="n"/>
      <c r="O1688" s="19" t="n"/>
      <c r="P1688" s="19" t="n"/>
    </row>
    <row r="1689">
      <c r="A1689" s="19" t="n"/>
      <c r="B1689" s="19" t="n"/>
      <c r="C1689" s="19" t="n"/>
      <c r="D1689" s="19" t="n"/>
      <c r="E1689" s="19" t="n"/>
      <c r="F1689" s="19" t="n"/>
      <c r="G1689" s="19" t="n"/>
      <c r="H1689" s="19" t="n"/>
      <c r="I1689" s="19" t="n"/>
      <c r="J1689" s="19" t="n"/>
      <c r="K1689" s="19" t="n"/>
      <c r="L1689" s="19" t="n"/>
      <c r="M1689" s="19" t="n"/>
      <c r="N1689" s="19" t="n"/>
      <c r="O1689" s="19" t="n"/>
      <c r="P1689" s="19" t="n"/>
    </row>
    <row r="1690">
      <c r="A1690" s="19" t="n"/>
      <c r="B1690" s="19" t="n"/>
      <c r="C1690" s="19" t="n"/>
      <c r="D1690" s="19" t="n"/>
      <c r="E1690" s="19" t="n"/>
      <c r="F1690" s="19" t="n"/>
      <c r="G1690" s="19" t="n"/>
      <c r="H1690" s="19" t="n"/>
      <c r="I1690" s="19" t="n"/>
      <c r="J1690" s="19" t="n"/>
      <c r="K1690" s="19" t="n"/>
      <c r="L1690" s="19" t="n"/>
      <c r="M1690" s="19" t="n"/>
      <c r="N1690" s="19" t="n"/>
      <c r="O1690" s="19" t="n"/>
      <c r="P1690" s="19" t="n"/>
    </row>
    <row r="1691">
      <c r="A1691" s="19" t="n"/>
      <c r="B1691" s="19" t="n"/>
      <c r="C1691" s="19" t="n"/>
      <c r="D1691" s="19" t="n"/>
      <c r="E1691" s="19" t="n"/>
      <c r="F1691" s="19" t="n"/>
      <c r="G1691" s="19" t="n"/>
      <c r="H1691" s="19" t="n"/>
      <c r="I1691" s="19" t="n"/>
      <c r="J1691" s="19" t="n"/>
      <c r="K1691" s="19" t="n"/>
      <c r="L1691" s="19" t="n"/>
      <c r="M1691" s="19" t="n"/>
      <c r="N1691" s="19" t="n"/>
      <c r="O1691" s="19" t="n"/>
      <c r="P1691" s="19" t="n"/>
    </row>
    <row r="1692">
      <c r="A1692" s="19" t="n"/>
      <c r="B1692" s="19" t="n"/>
      <c r="C1692" s="19" t="n"/>
      <c r="D1692" s="19" t="n"/>
      <c r="E1692" s="19" t="n"/>
      <c r="F1692" s="19" t="n"/>
      <c r="G1692" s="19" t="n"/>
      <c r="H1692" s="19" t="n"/>
      <c r="I1692" s="19" t="n"/>
      <c r="J1692" s="19" t="n"/>
      <c r="K1692" s="19" t="n"/>
      <c r="L1692" s="19" t="n"/>
      <c r="M1692" s="19" t="n"/>
      <c r="N1692" s="19" t="n"/>
      <c r="O1692" s="19" t="n"/>
      <c r="P1692" s="19" t="n"/>
    </row>
    <row r="1693">
      <c r="A1693" s="19" t="n"/>
      <c r="B1693" s="19" t="n"/>
      <c r="C1693" s="19" t="n"/>
      <c r="D1693" s="19" t="n"/>
      <c r="E1693" s="19" t="n"/>
      <c r="F1693" s="19" t="n"/>
      <c r="G1693" s="19" t="n"/>
      <c r="H1693" s="19" t="n"/>
      <c r="I1693" s="19" t="n"/>
      <c r="J1693" s="19" t="n"/>
      <c r="K1693" s="19" t="n"/>
      <c r="L1693" s="19" t="n"/>
      <c r="M1693" s="19" t="n"/>
      <c r="N1693" s="19" t="n"/>
      <c r="O1693" s="19" t="n"/>
      <c r="P1693" s="19" t="n"/>
    </row>
    <row r="1694">
      <c r="A1694" s="19" t="n"/>
      <c r="B1694" s="19" t="n"/>
      <c r="C1694" s="19" t="n"/>
      <c r="D1694" s="19" t="n"/>
      <c r="E1694" s="19" t="n"/>
      <c r="F1694" s="19" t="n"/>
      <c r="G1694" s="19" t="n"/>
      <c r="H1694" s="19" t="n"/>
      <c r="I1694" s="19" t="n"/>
      <c r="J1694" s="19" t="n"/>
      <c r="K1694" s="19" t="n"/>
      <c r="L1694" s="19" t="n"/>
      <c r="M1694" s="19" t="n"/>
      <c r="N1694" s="19" t="n"/>
      <c r="O1694" s="19" t="n"/>
      <c r="P1694" s="19" t="n"/>
    </row>
    <row r="1695">
      <c r="A1695" s="19" t="n"/>
      <c r="B1695" s="19" t="n"/>
      <c r="C1695" s="19" t="n"/>
      <c r="D1695" s="19" t="n"/>
      <c r="E1695" s="19" t="n"/>
      <c r="F1695" s="19" t="n"/>
      <c r="G1695" s="19" t="n"/>
      <c r="H1695" s="19" t="n"/>
      <c r="I1695" s="19" t="n"/>
      <c r="J1695" s="19" t="n"/>
      <c r="K1695" s="19" t="n"/>
      <c r="L1695" s="19" t="n"/>
      <c r="M1695" s="19" t="n"/>
      <c r="N1695" s="19" t="n"/>
      <c r="O1695" s="19" t="n"/>
      <c r="P1695" s="19" t="n"/>
    </row>
    <row r="1696">
      <c r="A1696" s="19" t="n"/>
      <c r="B1696" s="19" t="n"/>
      <c r="C1696" s="19" t="n"/>
      <c r="D1696" s="19" t="n"/>
      <c r="E1696" s="19" t="n"/>
      <c r="F1696" s="19" t="n"/>
      <c r="G1696" s="19" t="n"/>
      <c r="H1696" s="19" t="n"/>
      <c r="I1696" s="19" t="n"/>
      <c r="J1696" s="19" t="n"/>
      <c r="K1696" s="19" t="n"/>
      <c r="L1696" s="19" t="n"/>
      <c r="M1696" s="19" t="n"/>
      <c r="N1696" s="19" t="n"/>
      <c r="O1696" s="19" t="n"/>
      <c r="P1696" s="19" t="n"/>
    </row>
    <row r="1697">
      <c r="A1697" s="19" t="n"/>
      <c r="B1697" s="19" t="n"/>
      <c r="C1697" s="19" t="n"/>
      <c r="D1697" s="19" t="n"/>
      <c r="E1697" s="19" t="n"/>
      <c r="F1697" s="19" t="n"/>
      <c r="G1697" s="19" t="n"/>
      <c r="H1697" s="19" t="n"/>
      <c r="I1697" s="19" t="n"/>
      <c r="J1697" s="19" t="n"/>
      <c r="K1697" s="19" t="n"/>
      <c r="L1697" s="19" t="n"/>
      <c r="M1697" s="19" t="n"/>
      <c r="N1697" s="19" t="n"/>
      <c r="O1697" s="19" t="n"/>
      <c r="P1697" s="19" t="n"/>
    </row>
    <row r="1698">
      <c r="A1698" s="19" t="n"/>
      <c r="B1698" s="19" t="n"/>
      <c r="C1698" s="19" t="n"/>
      <c r="D1698" s="19" t="n"/>
      <c r="E1698" s="19" t="n"/>
      <c r="F1698" s="19" t="n"/>
      <c r="G1698" s="19" t="n"/>
      <c r="H1698" s="19" t="n"/>
      <c r="I1698" s="19" t="n"/>
      <c r="J1698" s="19" t="n"/>
      <c r="K1698" s="19" t="n"/>
      <c r="L1698" s="19" t="n"/>
      <c r="M1698" s="19" t="n"/>
      <c r="N1698" s="19" t="n"/>
      <c r="O1698" s="19" t="n"/>
      <c r="P1698" s="19" t="n"/>
    </row>
    <row r="1699">
      <c r="A1699" s="19" t="n"/>
      <c r="B1699" s="19" t="n"/>
      <c r="C1699" s="19" t="n"/>
      <c r="D1699" s="19" t="n"/>
      <c r="E1699" s="19" t="n"/>
      <c r="F1699" s="19" t="n"/>
      <c r="G1699" s="19" t="n"/>
      <c r="H1699" s="19" t="n"/>
      <c r="I1699" s="19" t="n"/>
      <c r="J1699" s="19" t="n"/>
      <c r="K1699" s="19" t="n"/>
      <c r="L1699" s="19" t="n"/>
      <c r="M1699" s="19" t="n"/>
      <c r="N1699" s="19" t="n"/>
      <c r="O1699" s="19" t="n"/>
      <c r="P1699" s="19" t="n"/>
    </row>
    <row r="1700">
      <c r="A1700" s="19" t="n"/>
      <c r="B1700" s="19" t="n"/>
      <c r="C1700" s="19" t="n"/>
      <c r="D1700" s="19" t="n"/>
      <c r="E1700" s="19" t="n"/>
      <c r="F1700" s="19" t="n"/>
      <c r="G1700" s="19" t="n"/>
      <c r="H1700" s="19" t="n"/>
      <c r="I1700" s="19" t="n"/>
      <c r="J1700" s="19" t="n"/>
      <c r="K1700" s="19" t="n"/>
      <c r="L1700" s="19" t="n"/>
      <c r="M1700" s="19" t="n"/>
      <c r="N1700" s="19" t="n"/>
      <c r="O1700" s="19" t="n"/>
      <c r="P1700" s="19" t="n"/>
    </row>
    <row r="1701">
      <c r="A1701" s="19" t="n"/>
      <c r="B1701" s="19" t="n"/>
      <c r="C1701" s="19" t="n"/>
      <c r="D1701" s="19" t="n"/>
      <c r="E1701" s="19" t="n"/>
      <c r="F1701" s="19" t="n"/>
      <c r="G1701" s="19" t="n"/>
      <c r="H1701" s="19" t="n"/>
      <c r="I1701" s="19" t="n"/>
      <c r="J1701" s="19" t="n"/>
      <c r="K1701" s="19" t="n"/>
      <c r="L1701" s="19" t="n"/>
      <c r="M1701" s="19" t="n"/>
      <c r="N1701" s="19" t="n"/>
      <c r="O1701" s="19" t="n"/>
      <c r="P1701" s="19" t="n"/>
    </row>
    <row r="1702">
      <c r="A1702" s="19" t="n"/>
      <c r="B1702" s="19" t="n"/>
      <c r="C1702" s="19" t="n"/>
      <c r="D1702" s="19" t="n"/>
      <c r="E1702" s="19" t="n"/>
      <c r="F1702" s="19" t="n"/>
      <c r="G1702" s="19" t="n"/>
      <c r="H1702" s="19" t="n"/>
      <c r="I1702" s="19" t="n"/>
      <c r="J1702" s="19" t="n"/>
      <c r="K1702" s="19" t="n"/>
      <c r="L1702" s="19" t="n"/>
      <c r="M1702" s="19" t="n"/>
      <c r="N1702" s="19" t="n"/>
      <c r="O1702" s="19" t="n"/>
      <c r="P1702" s="19" t="n"/>
    </row>
    <row r="1703">
      <c r="A1703" s="19" t="n"/>
      <c r="B1703" s="19" t="n"/>
      <c r="C1703" s="19" t="n"/>
      <c r="D1703" s="19" t="n"/>
      <c r="E1703" s="19" t="n"/>
      <c r="F1703" s="19" t="n"/>
      <c r="G1703" s="19" t="n"/>
      <c r="H1703" s="19" t="n"/>
      <c r="I1703" s="19" t="n"/>
      <c r="J1703" s="19" t="n"/>
      <c r="K1703" s="19" t="n"/>
      <c r="L1703" s="19" t="n"/>
      <c r="M1703" s="19" t="n"/>
      <c r="N1703" s="19" t="n"/>
      <c r="O1703" s="19" t="n"/>
      <c r="P1703" s="19" t="n"/>
    </row>
    <row r="1704">
      <c r="A1704" s="19" t="n"/>
      <c r="B1704" s="19" t="n"/>
      <c r="C1704" s="19" t="n"/>
      <c r="D1704" s="19" t="n"/>
      <c r="E1704" s="19" t="n"/>
      <c r="F1704" s="19" t="n"/>
      <c r="G1704" s="19" t="n"/>
      <c r="H1704" s="19" t="n"/>
      <c r="I1704" s="19" t="n"/>
      <c r="J1704" s="19" t="n"/>
      <c r="K1704" s="19" t="n"/>
      <c r="L1704" s="19" t="n"/>
      <c r="M1704" s="19" t="n"/>
      <c r="N1704" s="19" t="n"/>
      <c r="O1704" s="19" t="n"/>
      <c r="P1704" s="19" t="n"/>
    </row>
    <row r="1705">
      <c r="A1705" s="19" t="n"/>
      <c r="B1705" s="19" t="n"/>
      <c r="C1705" s="19" t="n"/>
      <c r="D1705" s="19" t="n"/>
      <c r="E1705" s="19" t="n"/>
      <c r="F1705" s="19" t="n"/>
      <c r="G1705" s="19" t="n"/>
      <c r="H1705" s="19" t="n"/>
      <c r="I1705" s="19" t="n"/>
      <c r="J1705" s="19" t="n"/>
      <c r="K1705" s="19" t="n"/>
      <c r="L1705" s="19" t="n"/>
      <c r="M1705" s="19" t="n"/>
      <c r="N1705" s="19" t="n"/>
      <c r="O1705" s="19" t="n"/>
      <c r="P1705" s="19" t="n"/>
    </row>
    <row r="1706">
      <c r="A1706" s="19" t="n"/>
      <c r="B1706" s="19" t="n"/>
      <c r="C1706" s="19" t="n"/>
      <c r="D1706" s="19" t="n"/>
      <c r="E1706" s="19" t="n"/>
      <c r="F1706" s="19" t="n"/>
      <c r="G1706" s="19" t="n"/>
      <c r="H1706" s="19" t="n"/>
      <c r="I1706" s="19" t="n"/>
      <c r="J1706" s="19" t="n"/>
      <c r="K1706" s="19" t="n"/>
      <c r="L1706" s="19" t="n"/>
      <c r="M1706" s="19" t="n"/>
      <c r="N1706" s="19" t="n"/>
      <c r="O1706" s="19" t="n"/>
      <c r="P1706" s="19" t="n"/>
    </row>
    <row r="1707">
      <c r="A1707" s="19" t="n"/>
      <c r="B1707" s="19" t="n"/>
      <c r="C1707" s="19" t="n"/>
      <c r="D1707" s="19" t="n"/>
      <c r="E1707" s="19" t="n"/>
      <c r="F1707" s="19" t="n"/>
      <c r="G1707" s="19" t="n"/>
      <c r="H1707" s="19" t="n"/>
      <c r="I1707" s="19" t="n"/>
      <c r="J1707" s="19" t="n"/>
      <c r="K1707" s="19" t="n"/>
      <c r="L1707" s="19" t="n"/>
      <c r="M1707" s="19" t="n"/>
      <c r="N1707" s="19" t="n"/>
      <c r="O1707" s="19" t="n"/>
      <c r="P1707" s="19" t="n"/>
    </row>
    <row r="1708">
      <c r="A1708" s="19" t="n"/>
      <c r="B1708" s="19" t="n"/>
      <c r="C1708" s="19" t="n"/>
      <c r="D1708" s="19" t="n"/>
      <c r="E1708" s="19" t="n"/>
      <c r="F1708" s="19" t="n"/>
      <c r="G1708" s="19" t="n"/>
      <c r="H1708" s="19" t="n"/>
      <c r="I1708" s="19" t="n"/>
      <c r="J1708" s="19" t="n"/>
      <c r="K1708" s="19" t="n"/>
      <c r="L1708" s="19" t="n"/>
      <c r="M1708" s="19" t="n"/>
      <c r="N1708" s="19" t="n"/>
      <c r="O1708" s="19" t="n"/>
      <c r="P1708" s="19" t="n"/>
    </row>
    <row r="1709">
      <c r="A1709" s="19" t="n"/>
      <c r="B1709" s="19" t="n"/>
      <c r="C1709" s="19" t="n"/>
      <c r="D1709" s="19" t="n"/>
      <c r="E1709" s="19" t="n"/>
      <c r="F1709" s="19" t="n"/>
      <c r="G1709" s="19" t="n"/>
      <c r="H1709" s="19" t="n"/>
      <c r="I1709" s="19" t="n"/>
      <c r="J1709" s="19" t="n"/>
      <c r="K1709" s="19" t="n"/>
      <c r="L1709" s="19" t="n"/>
      <c r="M1709" s="19" t="n"/>
      <c r="N1709" s="19" t="n"/>
      <c r="O1709" s="19" t="n"/>
      <c r="P1709" s="19" t="n"/>
    </row>
    <row r="1710">
      <c r="A1710" s="19" t="n"/>
      <c r="B1710" s="19" t="n"/>
      <c r="C1710" s="19" t="n"/>
      <c r="D1710" s="19" t="n"/>
      <c r="E1710" s="19" t="n"/>
      <c r="F1710" s="19" t="n"/>
      <c r="G1710" s="19" t="n"/>
      <c r="H1710" s="19" t="n"/>
      <c r="I1710" s="19" t="n"/>
      <c r="J1710" s="19" t="n"/>
      <c r="K1710" s="19" t="n"/>
      <c r="L1710" s="19" t="n"/>
      <c r="M1710" s="19" t="n"/>
      <c r="N1710" s="19" t="n"/>
      <c r="O1710" s="19" t="n"/>
      <c r="P1710" s="19" t="n"/>
    </row>
    <row r="1711">
      <c r="A1711" s="19" t="n"/>
      <c r="B1711" s="19" t="n"/>
      <c r="C1711" s="19" t="n"/>
      <c r="D1711" s="19" t="n"/>
      <c r="E1711" s="19" t="n"/>
      <c r="F1711" s="19" t="n"/>
      <c r="G1711" s="19" t="n"/>
      <c r="H1711" s="19" t="n"/>
      <c r="I1711" s="19" t="n"/>
      <c r="J1711" s="19" t="n"/>
      <c r="K1711" s="19" t="n"/>
      <c r="L1711" s="19" t="n"/>
      <c r="M1711" s="19" t="n"/>
      <c r="N1711" s="19" t="n"/>
      <c r="O1711" s="19" t="n"/>
      <c r="P1711" s="19" t="n"/>
    </row>
    <row r="1712">
      <c r="A1712" s="19" t="n"/>
      <c r="B1712" s="19" t="n"/>
      <c r="C1712" s="19" t="n"/>
      <c r="D1712" s="19" t="n"/>
      <c r="E1712" s="19" t="n"/>
      <c r="F1712" s="19" t="n"/>
      <c r="G1712" s="19" t="n"/>
      <c r="H1712" s="19" t="n"/>
      <c r="I1712" s="19" t="n"/>
      <c r="J1712" s="19" t="n"/>
      <c r="K1712" s="19" t="n"/>
      <c r="L1712" s="19" t="n"/>
      <c r="M1712" s="19" t="n"/>
      <c r="N1712" s="19" t="n"/>
      <c r="O1712" s="19" t="n"/>
      <c r="P1712" s="19" t="n"/>
    </row>
    <row r="1713">
      <c r="A1713" s="19" t="n"/>
      <c r="B1713" s="19" t="n"/>
      <c r="C1713" s="19" t="n"/>
      <c r="D1713" s="19" t="n"/>
      <c r="E1713" s="19" t="n"/>
      <c r="F1713" s="19" t="n"/>
      <c r="G1713" s="19" t="n"/>
      <c r="H1713" s="19" t="n"/>
      <c r="I1713" s="19" t="n"/>
      <c r="J1713" s="19" t="n"/>
      <c r="K1713" s="19" t="n"/>
      <c r="L1713" s="19" t="n"/>
      <c r="M1713" s="19" t="n"/>
      <c r="N1713" s="19" t="n"/>
      <c r="O1713" s="19" t="n"/>
      <c r="P1713" s="19" t="n"/>
    </row>
    <row r="1714">
      <c r="A1714" s="19" t="n"/>
      <c r="B1714" s="19" t="n"/>
      <c r="C1714" s="19" t="n"/>
      <c r="D1714" s="19" t="n"/>
      <c r="E1714" s="19" t="n"/>
      <c r="F1714" s="19" t="n"/>
      <c r="G1714" s="19" t="n"/>
      <c r="H1714" s="19" t="n"/>
      <c r="I1714" s="19" t="n"/>
      <c r="J1714" s="19" t="n"/>
      <c r="K1714" s="19" t="n"/>
      <c r="L1714" s="19" t="n"/>
      <c r="M1714" s="19" t="n"/>
      <c r="N1714" s="19" t="n"/>
      <c r="O1714" s="19" t="n"/>
      <c r="P1714" s="19" t="n"/>
    </row>
    <row r="1715">
      <c r="A1715" s="19" t="n"/>
      <c r="B1715" s="19" t="n"/>
      <c r="C1715" s="19" t="n"/>
      <c r="D1715" s="19" t="n"/>
      <c r="E1715" s="19" t="n"/>
      <c r="F1715" s="19" t="n"/>
      <c r="G1715" s="19" t="n"/>
      <c r="H1715" s="19" t="n"/>
      <c r="I1715" s="19" t="n"/>
      <c r="J1715" s="19" t="n"/>
      <c r="K1715" s="19" t="n"/>
      <c r="L1715" s="19" t="n"/>
      <c r="M1715" s="19" t="n"/>
      <c r="N1715" s="19" t="n"/>
      <c r="O1715" s="19" t="n"/>
      <c r="P1715" s="19" t="n"/>
    </row>
    <row r="1716">
      <c r="A1716" s="19" t="n"/>
      <c r="B1716" s="19" t="n"/>
      <c r="C1716" s="19" t="n"/>
      <c r="D1716" s="19" t="n"/>
      <c r="E1716" s="19" t="n"/>
      <c r="F1716" s="19" t="n"/>
      <c r="G1716" s="19" t="n"/>
      <c r="H1716" s="19" t="n"/>
      <c r="I1716" s="19" t="n"/>
      <c r="J1716" s="19" t="n"/>
      <c r="K1716" s="19" t="n"/>
      <c r="L1716" s="19" t="n"/>
      <c r="M1716" s="19" t="n"/>
      <c r="N1716" s="19" t="n"/>
      <c r="O1716" s="19" t="n"/>
      <c r="P1716" s="19" t="n"/>
    </row>
    <row r="1717">
      <c r="A1717" s="19" t="n"/>
      <c r="B1717" s="19" t="n"/>
      <c r="C1717" s="19" t="n"/>
      <c r="D1717" s="19" t="n"/>
      <c r="E1717" s="19" t="n"/>
      <c r="F1717" s="19" t="n"/>
      <c r="G1717" s="19" t="n"/>
      <c r="H1717" s="19" t="n"/>
      <c r="I1717" s="19" t="n"/>
      <c r="J1717" s="19" t="n"/>
      <c r="K1717" s="19" t="n"/>
      <c r="L1717" s="19" t="n"/>
      <c r="M1717" s="19" t="n"/>
      <c r="N1717" s="19" t="n"/>
      <c r="O1717" s="19" t="n"/>
      <c r="P1717" s="19" t="n"/>
    </row>
    <row r="1718">
      <c r="A1718" s="19" t="n"/>
      <c r="B1718" s="19" t="n"/>
      <c r="C1718" s="19" t="n"/>
      <c r="D1718" s="19" t="n"/>
      <c r="E1718" s="19" t="n"/>
      <c r="F1718" s="19" t="n"/>
      <c r="G1718" s="19" t="n"/>
      <c r="H1718" s="19" t="n"/>
      <c r="I1718" s="19" t="n"/>
      <c r="J1718" s="19" t="n"/>
      <c r="K1718" s="19" t="n"/>
      <c r="L1718" s="19" t="n"/>
      <c r="M1718" s="19" t="n"/>
      <c r="N1718" s="19" t="n"/>
      <c r="O1718" s="19" t="n"/>
      <c r="P1718" s="19" t="n"/>
    </row>
    <row r="1719">
      <c r="A1719" s="19" t="n"/>
      <c r="B1719" s="19" t="n"/>
      <c r="C1719" s="19" t="n"/>
      <c r="D1719" s="19" t="n"/>
      <c r="E1719" s="19" t="n"/>
      <c r="F1719" s="19" t="n"/>
      <c r="G1719" s="19" t="n"/>
      <c r="H1719" s="19" t="n"/>
      <c r="I1719" s="19" t="n"/>
      <c r="J1719" s="19" t="n"/>
      <c r="K1719" s="19" t="n"/>
      <c r="L1719" s="19" t="n"/>
      <c r="M1719" s="19" t="n"/>
      <c r="N1719" s="19" t="n"/>
      <c r="O1719" s="19" t="n"/>
      <c r="P1719" s="19" t="n"/>
    </row>
    <row r="1720">
      <c r="A1720" s="19" t="n"/>
      <c r="B1720" s="19" t="n"/>
      <c r="C1720" s="19" t="n"/>
      <c r="D1720" s="19" t="n"/>
      <c r="E1720" s="19" t="n"/>
      <c r="F1720" s="19" t="n"/>
      <c r="G1720" s="19" t="n"/>
      <c r="H1720" s="19" t="n"/>
      <c r="I1720" s="19" t="n"/>
      <c r="J1720" s="19" t="n"/>
      <c r="K1720" s="19" t="n"/>
      <c r="L1720" s="19" t="n"/>
      <c r="M1720" s="19" t="n"/>
      <c r="N1720" s="19" t="n"/>
      <c r="O1720" s="19" t="n"/>
      <c r="P1720" s="19" t="n"/>
    </row>
    <row r="1721">
      <c r="A1721" s="19" t="n"/>
      <c r="B1721" s="19" t="n"/>
      <c r="C1721" s="19" t="n"/>
      <c r="D1721" s="19" t="n"/>
      <c r="E1721" s="19" t="n"/>
      <c r="F1721" s="19" t="n"/>
      <c r="G1721" s="19" t="n"/>
      <c r="H1721" s="19" t="n"/>
      <c r="I1721" s="19" t="n"/>
      <c r="J1721" s="19" t="n"/>
      <c r="K1721" s="19" t="n"/>
      <c r="L1721" s="19" t="n"/>
      <c r="M1721" s="19" t="n"/>
      <c r="N1721" s="19" t="n"/>
      <c r="O1721" s="19" t="n"/>
      <c r="P1721" s="19" t="n"/>
    </row>
    <row r="1722">
      <c r="A1722" s="19" t="n"/>
      <c r="B1722" s="19" t="n"/>
      <c r="C1722" s="19" t="n"/>
      <c r="D1722" s="19" t="n"/>
      <c r="E1722" s="19" t="n"/>
      <c r="F1722" s="19" t="n"/>
      <c r="G1722" s="19" t="n"/>
      <c r="H1722" s="19" t="n"/>
      <c r="I1722" s="19" t="n"/>
      <c r="J1722" s="19" t="n"/>
      <c r="K1722" s="19" t="n"/>
      <c r="L1722" s="19" t="n"/>
      <c r="M1722" s="19" t="n"/>
      <c r="N1722" s="19" t="n"/>
      <c r="O1722" s="19" t="n"/>
      <c r="P1722" s="19" t="n"/>
    </row>
    <row r="1723">
      <c r="A1723" s="19" t="n"/>
      <c r="B1723" s="19" t="n"/>
      <c r="C1723" s="19" t="n"/>
      <c r="D1723" s="19" t="n"/>
      <c r="E1723" s="19" t="n"/>
      <c r="F1723" s="19" t="n"/>
      <c r="G1723" s="19" t="n"/>
      <c r="H1723" s="19" t="n"/>
      <c r="I1723" s="19" t="n"/>
      <c r="J1723" s="19" t="n"/>
      <c r="K1723" s="19" t="n"/>
      <c r="L1723" s="19" t="n"/>
      <c r="M1723" s="19" t="n"/>
      <c r="N1723" s="19" t="n"/>
      <c r="O1723" s="19" t="n"/>
      <c r="P1723" s="19" t="n"/>
    </row>
    <row r="1724">
      <c r="A1724" s="19" t="n"/>
      <c r="B1724" s="19" t="n"/>
      <c r="C1724" s="19" t="n"/>
      <c r="D1724" s="19" t="n"/>
      <c r="E1724" s="19" t="n"/>
      <c r="F1724" s="19" t="n"/>
      <c r="G1724" s="19" t="n"/>
      <c r="H1724" s="19" t="n"/>
      <c r="I1724" s="19" t="n"/>
      <c r="J1724" s="19" t="n"/>
      <c r="K1724" s="19" t="n"/>
      <c r="L1724" s="19" t="n"/>
      <c r="M1724" s="19" t="n"/>
      <c r="N1724" s="19" t="n"/>
      <c r="O1724" s="19" t="n"/>
      <c r="P1724" s="19" t="n"/>
    </row>
    <row r="1725">
      <c r="A1725" s="19" t="n"/>
      <c r="B1725" s="19" t="n"/>
      <c r="C1725" s="19" t="n"/>
      <c r="D1725" s="19" t="n"/>
      <c r="E1725" s="19" t="n"/>
      <c r="F1725" s="19" t="n"/>
      <c r="G1725" s="19" t="n"/>
      <c r="H1725" s="19" t="n"/>
      <c r="I1725" s="19" t="n"/>
      <c r="J1725" s="19" t="n"/>
      <c r="K1725" s="19" t="n"/>
      <c r="L1725" s="19" t="n"/>
      <c r="M1725" s="19" t="n"/>
      <c r="N1725" s="19" t="n"/>
      <c r="O1725" s="19" t="n"/>
      <c r="P1725" s="19" t="n"/>
    </row>
    <row r="1726">
      <c r="A1726" s="19" t="n"/>
      <c r="B1726" s="19" t="n"/>
      <c r="C1726" s="19" t="n"/>
      <c r="D1726" s="19" t="n"/>
      <c r="E1726" s="19" t="n"/>
      <c r="F1726" s="19" t="n"/>
      <c r="G1726" s="19" t="n"/>
      <c r="H1726" s="19" t="n"/>
      <c r="I1726" s="19" t="n"/>
      <c r="J1726" s="19" t="n"/>
      <c r="K1726" s="19" t="n"/>
      <c r="L1726" s="19" t="n"/>
      <c r="M1726" s="19" t="n"/>
      <c r="N1726" s="19" t="n"/>
      <c r="O1726" s="19" t="n"/>
      <c r="P1726" s="19" t="n"/>
    </row>
    <row r="1727">
      <c r="A1727" s="19" t="n"/>
      <c r="B1727" s="19" t="n"/>
      <c r="C1727" s="19" t="n"/>
      <c r="D1727" s="19" t="n"/>
      <c r="E1727" s="19" t="n"/>
      <c r="F1727" s="19" t="n"/>
      <c r="G1727" s="19" t="n"/>
      <c r="H1727" s="19" t="n"/>
      <c r="I1727" s="19" t="n"/>
      <c r="J1727" s="19" t="n"/>
      <c r="K1727" s="19" t="n"/>
      <c r="L1727" s="19" t="n"/>
      <c r="M1727" s="19" t="n"/>
      <c r="N1727" s="19" t="n"/>
      <c r="O1727" s="19" t="n"/>
      <c r="P1727" s="19" t="n"/>
    </row>
    <row r="1728">
      <c r="A1728" s="19" t="n"/>
      <c r="B1728" s="19" t="n"/>
      <c r="C1728" s="19" t="n"/>
      <c r="D1728" s="19" t="n"/>
      <c r="E1728" s="19" t="n"/>
      <c r="F1728" s="19" t="n"/>
      <c r="G1728" s="19" t="n"/>
      <c r="H1728" s="19" t="n"/>
      <c r="I1728" s="19" t="n"/>
      <c r="J1728" s="19" t="n"/>
      <c r="K1728" s="19" t="n"/>
      <c r="L1728" s="19" t="n"/>
      <c r="M1728" s="19" t="n"/>
      <c r="N1728" s="19" t="n"/>
      <c r="O1728" s="19" t="n"/>
      <c r="P1728" s="19" t="n"/>
    </row>
    <row r="1729">
      <c r="A1729" s="19" t="n"/>
      <c r="B1729" s="19" t="n"/>
      <c r="C1729" s="19" t="n"/>
      <c r="D1729" s="19" t="n"/>
      <c r="E1729" s="19" t="n"/>
      <c r="F1729" s="19" t="n"/>
      <c r="G1729" s="19" t="n"/>
      <c r="H1729" s="19" t="n"/>
      <c r="I1729" s="19" t="n"/>
      <c r="J1729" s="19" t="n"/>
      <c r="K1729" s="19" t="n"/>
      <c r="L1729" s="19" t="n"/>
      <c r="M1729" s="19" t="n"/>
      <c r="N1729" s="19" t="n"/>
      <c r="O1729" s="19" t="n"/>
      <c r="P1729" s="19" t="n"/>
    </row>
    <row r="1730">
      <c r="A1730" s="19" t="n"/>
      <c r="B1730" s="19" t="n"/>
      <c r="C1730" s="19" t="n"/>
      <c r="D1730" s="19" t="n"/>
      <c r="E1730" s="19" t="n"/>
      <c r="F1730" s="19" t="n"/>
      <c r="G1730" s="19" t="n"/>
      <c r="H1730" s="19" t="n"/>
      <c r="I1730" s="19" t="n"/>
      <c r="J1730" s="19" t="n"/>
      <c r="K1730" s="19" t="n"/>
      <c r="L1730" s="19" t="n"/>
      <c r="M1730" s="19" t="n"/>
      <c r="N1730" s="19" t="n"/>
      <c r="O1730" s="19" t="n"/>
      <c r="P1730" s="19" t="n"/>
    </row>
    <row r="1731">
      <c r="A1731" s="19" t="n"/>
      <c r="B1731" s="19" t="n"/>
      <c r="C1731" s="19" t="n"/>
      <c r="D1731" s="19" t="n"/>
      <c r="E1731" s="19" t="n"/>
      <c r="F1731" s="19" t="n"/>
      <c r="G1731" s="19" t="n"/>
      <c r="H1731" s="19" t="n"/>
      <c r="I1731" s="19" t="n"/>
      <c r="J1731" s="19" t="n"/>
      <c r="K1731" s="19" t="n"/>
      <c r="L1731" s="19" t="n"/>
      <c r="M1731" s="19" t="n"/>
      <c r="N1731" s="19" t="n"/>
      <c r="O1731" s="19" t="n"/>
      <c r="P1731" s="19" t="n"/>
    </row>
    <row r="1732">
      <c r="A1732" s="19" t="n"/>
      <c r="B1732" s="19" t="n"/>
      <c r="C1732" s="19" t="n"/>
      <c r="D1732" s="19" t="n"/>
      <c r="E1732" s="19" t="n"/>
      <c r="F1732" s="19" t="n"/>
      <c r="G1732" s="19" t="n"/>
      <c r="H1732" s="19" t="n"/>
      <c r="I1732" s="19" t="n"/>
      <c r="J1732" s="19" t="n"/>
      <c r="K1732" s="19" t="n"/>
      <c r="L1732" s="19" t="n"/>
      <c r="M1732" s="19" t="n"/>
      <c r="N1732" s="19" t="n"/>
      <c r="O1732" s="19" t="n"/>
      <c r="P1732" s="19" t="n"/>
    </row>
    <row r="1733">
      <c r="A1733" s="19" t="n"/>
      <c r="B1733" s="19" t="n"/>
      <c r="C1733" s="19" t="n"/>
      <c r="D1733" s="19" t="n"/>
      <c r="E1733" s="19" t="n"/>
      <c r="F1733" s="19" t="n"/>
      <c r="G1733" s="19" t="n"/>
      <c r="H1733" s="19" t="n"/>
      <c r="I1733" s="19" t="n"/>
      <c r="J1733" s="19" t="n"/>
      <c r="K1733" s="19" t="n"/>
      <c r="L1733" s="19" t="n"/>
      <c r="M1733" s="19" t="n"/>
      <c r="N1733" s="19" t="n"/>
      <c r="O1733" s="19" t="n"/>
      <c r="P1733" s="19" t="n"/>
    </row>
    <row r="1734">
      <c r="A1734" s="19" t="n"/>
      <c r="B1734" s="19" t="n"/>
      <c r="C1734" s="19" t="n"/>
      <c r="D1734" s="19" t="n"/>
      <c r="E1734" s="19" t="n"/>
      <c r="F1734" s="19" t="n"/>
      <c r="G1734" s="19" t="n"/>
      <c r="H1734" s="19" t="n"/>
      <c r="I1734" s="19" t="n"/>
      <c r="J1734" s="19" t="n"/>
      <c r="K1734" s="19" t="n"/>
      <c r="L1734" s="19" t="n"/>
      <c r="M1734" s="19" t="n"/>
      <c r="N1734" s="19" t="n"/>
      <c r="O1734" s="19" t="n"/>
      <c r="P1734" s="19" t="n"/>
    </row>
    <row r="1735">
      <c r="A1735" s="19" t="n"/>
      <c r="B1735" s="19" t="n"/>
      <c r="C1735" s="19" t="n"/>
      <c r="D1735" s="19" t="n"/>
      <c r="E1735" s="19" t="n"/>
      <c r="F1735" s="19" t="n"/>
      <c r="G1735" s="19" t="n"/>
      <c r="H1735" s="19" t="n"/>
      <c r="I1735" s="19" t="n"/>
      <c r="J1735" s="19" t="n"/>
      <c r="K1735" s="19" t="n"/>
      <c r="L1735" s="19" t="n"/>
      <c r="M1735" s="19" t="n"/>
      <c r="N1735" s="19" t="n"/>
      <c r="O1735" s="19" t="n"/>
      <c r="P1735" s="19" t="n"/>
    </row>
    <row r="1736">
      <c r="A1736" s="19" t="n"/>
      <c r="B1736" s="19" t="n"/>
      <c r="C1736" s="19" t="n"/>
      <c r="D1736" s="19" t="n"/>
      <c r="E1736" s="19" t="n"/>
      <c r="F1736" s="19" t="n"/>
      <c r="G1736" s="19" t="n"/>
      <c r="H1736" s="19" t="n"/>
      <c r="I1736" s="19" t="n"/>
      <c r="J1736" s="19" t="n"/>
      <c r="K1736" s="19" t="n"/>
      <c r="L1736" s="19" t="n"/>
      <c r="M1736" s="19" t="n"/>
      <c r="N1736" s="19" t="n"/>
      <c r="O1736" s="19" t="n"/>
      <c r="P1736" s="19" t="n"/>
    </row>
    <row r="1737">
      <c r="A1737" s="19" t="n"/>
      <c r="B1737" s="19" t="n"/>
      <c r="C1737" s="19" t="n"/>
      <c r="D1737" s="19" t="n"/>
      <c r="E1737" s="19" t="n"/>
      <c r="F1737" s="19" t="n"/>
      <c r="G1737" s="19" t="n"/>
      <c r="H1737" s="19" t="n"/>
      <c r="I1737" s="19" t="n"/>
      <c r="J1737" s="19" t="n"/>
      <c r="K1737" s="19" t="n"/>
      <c r="L1737" s="19" t="n"/>
      <c r="M1737" s="19" t="n"/>
      <c r="N1737" s="19" t="n"/>
      <c r="O1737" s="19" t="n"/>
      <c r="P1737" s="19" t="n"/>
    </row>
    <row r="1738">
      <c r="A1738" s="19" t="n"/>
      <c r="B1738" s="19" t="n"/>
      <c r="C1738" s="19" t="n"/>
      <c r="D1738" s="19" t="n"/>
      <c r="E1738" s="19" t="n"/>
      <c r="F1738" s="19" t="n"/>
      <c r="G1738" s="19" t="n"/>
      <c r="H1738" s="19" t="n"/>
      <c r="I1738" s="19" t="n"/>
      <c r="J1738" s="19" t="n"/>
      <c r="K1738" s="19" t="n"/>
      <c r="L1738" s="19" t="n"/>
      <c r="M1738" s="19" t="n"/>
      <c r="N1738" s="19" t="n"/>
      <c r="O1738" s="19" t="n"/>
      <c r="P1738" s="19" t="n"/>
    </row>
    <row r="1739">
      <c r="A1739" s="19" t="n"/>
      <c r="B1739" s="19" t="n"/>
      <c r="C1739" s="19" t="n"/>
      <c r="D1739" s="19" t="n"/>
      <c r="E1739" s="19" t="n"/>
      <c r="F1739" s="19" t="n"/>
      <c r="G1739" s="19" t="n"/>
      <c r="H1739" s="19" t="n"/>
      <c r="I1739" s="19" t="n"/>
      <c r="J1739" s="19" t="n"/>
      <c r="K1739" s="19" t="n"/>
      <c r="L1739" s="19" t="n"/>
      <c r="M1739" s="19" t="n"/>
      <c r="N1739" s="19" t="n"/>
      <c r="O1739" s="19" t="n"/>
      <c r="P1739" s="19" t="n"/>
    </row>
    <row r="1740">
      <c r="A1740" s="19" t="n"/>
      <c r="B1740" s="19" t="n"/>
      <c r="C1740" s="19" t="n"/>
      <c r="D1740" s="19" t="n"/>
      <c r="E1740" s="19" t="n"/>
      <c r="F1740" s="19" t="n"/>
      <c r="G1740" s="19" t="n"/>
      <c r="H1740" s="19" t="n"/>
      <c r="I1740" s="19" t="n"/>
      <c r="J1740" s="19" t="n"/>
      <c r="K1740" s="19" t="n"/>
      <c r="L1740" s="19" t="n"/>
      <c r="M1740" s="19" t="n"/>
      <c r="N1740" s="19" t="n"/>
      <c r="O1740" s="19" t="n"/>
      <c r="P1740" s="19" t="n"/>
    </row>
    <row r="1741">
      <c r="A1741" s="19" t="n"/>
      <c r="B1741" s="19" t="n"/>
      <c r="C1741" s="19" t="n"/>
      <c r="D1741" s="19" t="n"/>
      <c r="E1741" s="19" t="n"/>
      <c r="F1741" s="19" t="n"/>
      <c r="G1741" s="19" t="n"/>
      <c r="H1741" s="19" t="n"/>
      <c r="I1741" s="19" t="n"/>
      <c r="J1741" s="19" t="n"/>
      <c r="K1741" s="19" t="n"/>
      <c r="L1741" s="19" t="n"/>
      <c r="M1741" s="19" t="n"/>
      <c r="N1741" s="19" t="n"/>
      <c r="O1741" s="19" t="n"/>
      <c r="P1741" s="19" t="n"/>
    </row>
    <row r="1742">
      <c r="A1742" s="19" t="n"/>
      <c r="B1742" s="19" t="n"/>
      <c r="C1742" s="19" t="n"/>
      <c r="D1742" s="19" t="n"/>
      <c r="E1742" s="19" t="n"/>
      <c r="F1742" s="19" t="n"/>
      <c r="G1742" s="19" t="n"/>
      <c r="H1742" s="19" t="n"/>
      <c r="I1742" s="19" t="n"/>
      <c r="J1742" s="19" t="n"/>
      <c r="K1742" s="19" t="n"/>
      <c r="L1742" s="19" t="n"/>
      <c r="M1742" s="19" t="n"/>
      <c r="N1742" s="19" t="n"/>
      <c r="O1742" s="19" t="n"/>
      <c r="P1742" s="19" t="n"/>
    </row>
    <row r="1743">
      <c r="A1743" s="19" t="n"/>
      <c r="B1743" s="19" t="n"/>
      <c r="C1743" s="19" t="n"/>
      <c r="D1743" s="19" t="n"/>
      <c r="E1743" s="19" t="n"/>
      <c r="F1743" s="19" t="n"/>
      <c r="G1743" s="19" t="n"/>
      <c r="H1743" s="19" t="n"/>
      <c r="I1743" s="19" t="n"/>
      <c r="J1743" s="19" t="n"/>
      <c r="K1743" s="19" t="n"/>
      <c r="L1743" s="19" t="n"/>
      <c r="M1743" s="19" t="n"/>
      <c r="N1743" s="19" t="n"/>
      <c r="O1743" s="19" t="n"/>
      <c r="P1743" s="19" t="n"/>
    </row>
    <row r="1744">
      <c r="A1744" s="19" t="n"/>
      <c r="B1744" s="19" t="n"/>
      <c r="C1744" s="19" t="n"/>
      <c r="D1744" s="19" t="n"/>
      <c r="E1744" s="19" t="n"/>
      <c r="F1744" s="19" t="n"/>
      <c r="G1744" s="19" t="n"/>
      <c r="H1744" s="19" t="n"/>
      <c r="I1744" s="19" t="n"/>
      <c r="J1744" s="19" t="n"/>
      <c r="K1744" s="19" t="n"/>
      <c r="L1744" s="19" t="n"/>
      <c r="M1744" s="19" t="n"/>
      <c r="N1744" s="19" t="n"/>
      <c r="O1744" s="19" t="n"/>
      <c r="P1744" s="19" t="n"/>
    </row>
    <row r="1745">
      <c r="A1745" s="19" t="n"/>
      <c r="B1745" s="19" t="n"/>
      <c r="C1745" s="19" t="n"/>
      <c r="D1745" s="19" t="n"/>
      <c r="E1745" s="19" t="n"/>
      <c r="F1745" s="19" t="n"/>
      <c r="G1745" s="19" t="n"/>
      <c r="H1745" s="19" t="n"/>
      <c r="I1745" s="19" t="n"/>
      <c r="J1745" s="19" t="n"/>
      <c r="K1745" s="19" t="n"/>
      <c r="L1745" s="19" t="n"/>
      <c r="M1745" s="19" t="n"/>
      <c r="N1745" s="19" t="n"/>
      <c r="O1745" s="19" t="n"/>
      <c r="P1745" s="19" t="n"/>
    </row>
    <row r="1746">
      <c r="A1746" s="19" t="n"/>
      <c r="B1746" s="19" t="n"/>
      <c r="C1746" s="19" t="n"/>
      <c r="D1746" s="19" t="n"/>
      <c r="E1746" s="19" t="n"/>
      <c r="F1746" s="19" t="n"/>
      <c r="G1746" s="19" t="n"/>
      <c r="H1746" s="19" t="n"/>
      <c r="I1746" s="19" t="n"/>
      <c r="J1746" s="19" t="n"/>
      <c r="K1746" s="19" t="n"/>
      <c r="L1746" s="19" t="n"/>
      <c r="M1746" s="19" t="n"/>
      <c r="N1746" s="19" t="n"/>
      <c r="O1746" s="19" t="n"/>
      <c r="P1746" s="19" t="n"/>
    </row>
    <row r="1747">
      <c r="A1747" s="19" t="n"/>
      <c r="B1747" s="19" t="n"/>
      <c r="C1747" s="19" t="n"/>
      <c r="D1747" s="19" t="n"/>
      <c r="E1747" s="19" t="n"/>
      <c r="F1747" s="19" t="n"/>
      <c r="G1747" s="19" t="n"/>
      <c r="H1747" s="19" t="n"/>
      <c r="I1747" s="19" t="n"/>
      <c r="J1747" s="19" t="n"/>
      <c r="K1747" s="19" t="n"/>
      <c r="L1747" s="19" t="n"/>
      <c r="M1747" s="19" t="n"/>
      <c r="N1747" s="19" t="n"/>
      <c r="O1747" s="19" t="n"/>
      <c r="P1747" s="19" t="n"/>
    </row>
    <row r="1748">
      <c r="A1748" s="19" t="n"/>
      <c r="B1748" s="19" t="n"/>
      <c r="C1748" s="19" t="n"/>
      <c r="D1748" s="19" t="n"/>
      <c r="E1748" s="19" t="n"/>
      <c r="F1748" s="19" t="n"/>
      <c r="G1748" s="19" t="n"/>
      <c r="H1748" s="19" t="n"/>
      <c r="I1748" s="19" t="n"/>
      <c r="J1748" s="19" t="n"/>
      <c r="K1748" s="19" t="n"/>
      <c r="L1748" s="19" t="n"/>
      <c r="M1748" s="19" t="n"/>
      <c r="N1748" s="19" t="n"/>
      <c r="O1748" s="19" t="n"/>
      <c r="P1748" s="19" t="n"/>
    </row>
    <row r="1749">
      <c r="A1749" s="19" t="n"/>
      <c r="B1749" s="19" t="n"/>
      <c r="C1749" s="19" t="n"/>
      <c r="D1749" s="19" t="n"/>
      <c r="E1749" s="19" t="n"/>
      <c r="F1749" s="19" t="n"/>
      <c r="G1749" s="19" t="n"/>
      <c r="H1749" s="19" t="n"/>
      <c r="I1749" s="19" t="n"/>
      <c r="J1749" s="19" t="n"/>
      <c r="K1749" s="19" t="n"/>
      <c r="L1749" s="19" t="n"/>
      <c r="M1749" s="19" t="n"/>
      <c r="N1749" s="19" t="n"/>
      <c r="O1749" s="19" t="n"/>
      <c r="P1749" s="19" t="n"/>
    </row>
    <row r="1750">
      <c r="A1750" s="19" t="n"/>
      <c r="B1750" s="19" t="n"/>
      <c r="C1750" s="19" t="n"/>
      <c r="D1750" s="19" t="n"/>
      <c r="E1750" s="19" t="n"/>
      <c r="F1750" s="19" t="n"/>
      <c r="G1750" s="19" t="n"/>
      <c r="H1750" s="19" t="n"/>
      <c r="I1750" s="19" t="n"/>
      <c r="J1750" s="19" t="n"/>
      <c r="K1750" s="19" t="n"/>
      <c r="L1750" s="19" t="n"/>
      <c r="M1750" s="19" t="n"/>
      <c r="N1750" s="19" t="n"/>
      <c r="O1750" s="19" t="n"/>
      <c r="P1750" s="19" t="n"/>
    </row>
    <row r="1751">
      <c r="A1751" s="19" t="n"/>
      <c r="B1751" s="19" t="n"/>
      <c r="C1751" s="19" t="n"/>
      <c r="D1751" s="19" t="n"/>
      <c r="E1751" s="19" t="n"/>
      <c r="F1751" s="19" t="n"/>
      <c r="G1751" s="19" t="n"/>
      <c r="H1751" s="19" t="n"/>
      <c r="I1751" s="19" t="n"/>
      <c r="J1751" s="19" t="n"/>
      <c r="K1751" s="19" t="n"/>
      <c r="L1751" s="19" t="n"/>
      <c r="M1751" s="19" t="n"/>
      <c r="N1751" s="19" t="n"/>
      <c r="O1751" s="19" t="n"/>
      <c r="P1751" s="19" t="n"/>
    </row>
    <row r="1752">
      <c r="A1752" s="19" t="n"/>
      <c r="B1752" s="19" t="n"/>
      <c r="C1752" s="19" t="n"/>
      <c r="D1752" s="19" t="n"/>
      <c r="E1752" s="19" t="n"/>
      <c r="F1752" s="19" t="n"/>
      <c r="G1752" s="19" t="n"/>
      <c r="H1752" s="19" t="n"/>
      <c r="I1752" s="19" t="n"/>
      <c r="J1752" s="19" t="n"/>
      <c r="K1752" s="19" t="n"/>
      <c r="L1752" s="19" t="n"/>
      <c r="M1752" s="19" t="n"/>
      <c r="N1752" s="19" t="n"/>
      <c r="O1752" s="19" t="n"/>
      <c r="P1752" s="19" t="n"/>
    </row>
    <row r="1753">
      <c r="A1753" s="19" t="n"/>
      <c r="B1753" s="19" t="n"/>
      <c r="C1753" s="19" t="n"/>
      <c r="D1753" s="19" t="n"/>
      <c r="E1753" s="19" t="n"/>
      <c r="F1753" s="19" t="n"/>
      <c r="G1753" s="19" t="n"/>
      <c r="H1753" s="19" t="n"/>
      <c r="I1753" s="19" t="n"/>
      <c r="J1753" s="19" t="n"/>
      <c r="K1753" s="19" t="n"/>
      <c r="L1753" s="19" t="n"/>
      <c r="M1753" s="19" t="n"/>
      <c r="N1753" s="19" t="n"/>
      <c r="O1753" s="19" t="n"/>
      <c r="P1753" s="19" t="n"/>
    </row>
    <row r="1754">
      <c r="A1754" s="19" t="n"/>
      <c r="B1754" s="19" t="n"/>
      <c r="C1754" s="19" t="n"/>
      <c r="D1754" s="19" t="n"/>
      <c r="E1754" s="19" t="n"/>
      <c r="F1754" s="19" t="n"/>
      <c r="G1754" s="19" t="n"/>
      <c r="H1754" s="19" t="n"/>
      <c r="I1754" s="19" t="n"/>
      <c r="J1754" s="19" t="n"/>
      <c r="K1754" s="19" t="n"/>
      <c r="L1754" s="19" t="n"/>
      <c r="M1754" s="19" t="n"/>
      <c r="N1754" s="19" t="n"/>
      <c r="O1754" s="19" t="n"/>
      <c r="P1754" s="19" t="n"/>
    </row>
    <row r="1755">
      <c r="A1755" s="19" t="n"/>
      <c r="B1755" s="19" t="n"/>
      <c r="C1755" s="19" t="n"/>
      <c r="D1755" s="19" t="n"/>
      <c r="E1755" s="19" t="n"/>
      <c r="F1755" s="19" t="n"/>
      <c r="G1755" s="19" t="n"/>
      <c r="H1755" s="19" t="n"/>
      <c r="I1755" s="19" t="n"/>
      <c r="J1755" s="19" t="n"/>
      <c r="K1755" s="19" t="n"/>
      <c r="L1755" s="19" t="n"/>
      <c r="M1755" s="19" t="n"/>
      <c r="N1755" s="19" t="n"/>
      <c r="O1755" s="19" t="n"/>
      <c r="P1755" s="19" t="n"/>
    </row>
    <row r="1756">
      <c r="A1756" s="19" t="n"/>
      <c r="B1756" s="19" t="n"/>
      <c r="C1756" s="19" t="n"/>
      <c r="D1756" s="19" t="n"/>
      <c r="E1756" s="19" t="n"/>
      <c r="F1756" s="19" t="n"/>
      <c r="G1756" s="19" t="n"/>
      <c r="H1756" s="19" t="n"/>
      <c r="I1756" s="19" t="n"/>
      <c r="J1756" s="19" t="n"/>
      <c r="K1756" s="19" t="n"/>
      <c r="L1756" s="19" t="n"/>
      <c r="M1756" s="19" t="n"/>
      <c r="N1756" s="19" t="n"/>
      <c r="O1756" s="19" t="n"/>
      <c r="P1756" s="19" t="n"/>
    </row>
    <row r="1757">
      <c r="A1757" s="19" t="n"/>
      <c r="B1757" s="19" t="n"/>
      <c r="C1757" s="19" t="n"/>
      <c r="D1757" s="19" t="n"/>
      <c r="E1757" s="19" t="n"/>
      <c r="F1757" s="19" t="n"/>
      <c r="G1757" s="19" t="n"/>
      <c r="H1757" s="19" t="n"/>
      <c r="I1757" s="19" t="n"/>
      <c r="J1757" s="19" t="n"/>
      <c r="K1757" s="19" t="n"/>
      <c r="L1757" s="19" t="n"/>
      <c r="M1757" s="19" t="n"/>
      <c r="N1757" s="19" t="n"/>
      <c r="O1757" s="19" t="n"/>
      <c r="P1757" s="19" t="n"/>
    </row>
    <row r="1758">
      <c r="A1758" s="19" t="n"/>
      <c r="B1758" s="19" t="n"/>
      <c r="C1758" s="19" t="n"/>
      <c r="D1758" s="19" t="n"/>
      <c r="E1758" s="19" t="n"/>
      <c r="F1758" s="19" t="n"/>
      <c r="G1758" s="19" t="n"/>
      <c r="H1758" s="19" t="n"/>
      <c r="I1758" s="19" t="n"/>
      <c r="J1758" s="19" t="n"/>
      <c r="K1758" s="19" t="n"/>
      <c r="L1758" s="19" t="n"/>
      <c r="M1758" s="19" t="n"/>
      <c r="N1758" s="19" t="n"/>
      <c r="O1758" s="19" t="n"/>
      <c r="P1758" s="19" t="n"/>
    </row>
    <row r="1759">
      <c r="A1759" s="19" t="n"/>
      <c r="B1759" s="19" t="n"/>
      <c r="C1759" s="19" t="n"/>
      <c r="D1759" s="19" t="n"/>
      <c r="E1759" s="19" t="n"/>
      <c r="F1759" s="19" t="n"/>
      <c r="G1759" s="19" t="n"/>
      <c r="H1759" s="19" t="n"/>
      <c r="I1759" s="19" t="n"/>
      <c r="J1759" s="19" t="n"/>
      <c r="K1759" s="19" t="n"/>
      <c r="L1759" s="19" t="n"/>
      <c r="M1759" s="19" t="n"/>
      <c r="N1759" s="19" t="n"/>
      <c r="O1759" s="19" t="n"/>
      <c r="P1759" s="19" t="n"/>
    </row>
    <row r="1760">
      <c r="A1760" s="19" t="n"/>
      <c r="B1760" s="19" t="n"/>
      <c r="C1760" s="19" t="n"/>
      <c r="D1760" s="19" t="n"/>
      <c r="E1760" s="19" t="n"/>
      <c r="F1760" s="19" t="n"/>
      <c r="G1760" s="19" t="n"/>
      <c r="H1760" s="19" t="n"/>
      <c r="I1760" s="19" t="n"/>
      <c r="J1760" s="19" t="n"/>
      <c r="K1760" s="19" t="n"/>
      <c r="L1760" s="19" t="n"/>
      <c r="M1760" s="19" t="n"/>
      <c r="N1760" s="19" t="n"/>
      <c r="O1760" s="19" t="n"/>
      <c r="P1760" s="19" t="n"/>
    </row>
    <row r="1761">
      <c r="A1761" s="19" t="n"/>
      <c r="B1761" s="19" t="n"/>
      <c r="C1761" s="19" t="n"/>
      <c r="D1761" s="19" t="n"/>
      <c r="E1761" s="19" t="n"/>
      <c r="F1761" s="19" t="n"/>
      <c r="G1761" s="19" t="n"/>
      <c r="H1761" s="19" t="n"/>
      <c r="I1761" s="19" t="n"/>
      <c r="J1761" s="19" t="n"/>
      <c r="K1761" s="19" t="n"/>
      <c r="L1761" s="19" t="n"/>
      <c r="M1761" s="19" t="n"/>
      <c r="N1761" s="19" t="n"/>
      <c r="O1761" s="19" t="n"/>
      <c r="P1761" s="19" t="n"/>
    </row>
    <row r="1762">
      <c r="A1762" s="19" t="n"/>
      <c r="B1762" s="19" t="n"/>
      <c r="C1762" s="19" t="n"/>
      <c r="D1762" s="19" t="n"/>
      <c r="E1762" s="19" t="n"/>
      <c r="F1762" s="19" t="n"/>
      <c r="G1762" s="19" t="n"/>
      <c r="H1762" s="19" t="n"/>
      <c r="I1762" s="19" t="n"/>
      <c r="J1762" s="19" t="n"/>
      <c r="K1762" s="19" t="n"/>
      <c r="L1762" s="19" t="n"/>
      <c r="M1762" s="19" t="n"/>
      <c r="N1762" s="19" t="n"/>
      <c r="O1762" s="19" t="n"/>
      <c r="P1762" s="19" t="n"/>
    </row>
    <row r="1763">
      <c r="A1763" s="19" t="n"/>
      <c r="B1763" s="19" t="n"/>
      <c r="C1763" s="19" t="n"/>
      <c r="D1763" s="19" t="n"/>
      <c r="E1763" s="19" t="n"/>
      <c r="F1763" s="19" t="n"/>
      <c r="G1763" s="19" t="n"/>
      <c r="H1763" s="19" t="n"/>
      <c r="I1763" s="19" t="n"/>
      <c r="J1763" s="19" t="n"/>
      <c r="K1763" s="19" t="n"/>
      <c r="L1763" s="19" t="n"/>
      <c r="M1763" s="19" t="n"/>
      <c r="N1763" s="19" t="n"/>
      <c r="O1763" s="19" t="n"/>
      <c r="P1763" s="19" t="n"/>
    </row>
    <row r="1764">
      <c r="A1764" s="19" t="n"/>
      <c r="B1764" s="19" t="n"/>
      <c r="C1764" s="19" t="n"/>
      <c r="D1764" s="19" t="n"/>
      <c r="E1764" s="19" t="n"/>
      <c r="F1764" s="19" t="n"/>
      <c r="G1764" s="19" t="n"/>
      <c r="H1764" s="19" t="n"/>
      <c r="I1764" s="19" t="n"/>
      <c r="J1764" s="19" t="n"/>
      <c r="K1764" s="19" t="n"/>
      <c r="L1764" s="19" t="n"/>
      <c r="M1764" s="19" t="n"/>
      <c r="N1764" s="19" t="n"/>
      <c r="O1764" s="19" t="n"/>
      <c r="P1764" s="19" t="n"/>
    </row>
    <row r="1765">
      <c r="A1765" s="19" t="n"/>
      <c r="B1765" s="19" t="n"/>
      <c r="C1765" s="19" t="n"/>
      <c r="D1765" s="19" t="n"/>
      <c r="E1765" s="19" t="n"/>
      <c r="F1765" s="19" t="n"/>
      <c r="G1765" s="19" t="n"/>
      <c r="H1765" s="19" t="n"/>
      <c r="I1765" s="19" t="n"/>
      <c r="J1765" s="19" t="n"/>
      <c r="K1765" s="19" t="n"/>
      <c r="L1765" s="19" t="n"/>
      <c r="M1765" s="19" t="n"/>
      <c r="N1765" s="19" t="n"/>
      <c r="O1765" s="19" t="n"/>
      <c r="P1765" s="19" t="n"/>
    </row>
    <row r="1766">
      <c r="A1766" s="19" t="n"/>
      <c r="B1766" s="19" t="n"/>
      <c r="C1766" s="19" t="n"/>
      <c r="D1766" s="19" t="n"/>
      <c r="E1766" s="19" t="n"/>
      <c r="F1766" s="19" t="n"/>
      <c r="G1766" s="19" t="n"/>
      <c r="H1766" s="19" t="n"/>
      <c r="I1766" s="19" t="n"/>
      <c r="J1766" s="19" t="n"/>
      <c r="K1766" s="19" t="n"/>
      <c r="L1766" s="19" t="n"/>
      <c r="M1766" s="19" t="n"/>
      <c r="N1766" s="19" t="n"/>
      <c r="O1766" s="19" t="n"/>
      <c r="P1766" s="19" t="n"/>
    </row>
    <row r="1767">
      <c r="A1767" s="19" t="n"/>
      <c r="B1767" s="19" t="n"/>
      <c r="C1767" s="19" t="n"/>
      <c r="D1767" s="19" t="n"/>
      <c r="E1767" s="19" t="n"/>
      <c r="F1767" s="19" t="n"/>
      <c r="G1767" s="19" t="n"/>
      <c r="H1767" s="19" t="n"/>
      <c r="I1767" s="19" t="n"/>
      <c r="J1767" s="19" t="n"/>
      <c r="K1767" s="19" t="n"/>
      <c r="L1767" s="19" t="n"/>
      <c r="M1767" s="19" t="n"/>
      <c r="N1767" s="19" t="n"/>
      <c r="O1767" s="19" t="n"/>
      <c r="P1767" s="19" t="n"/>
    </row>
    <row r="1768">
      <c r="A1768" s="19" t="n"/>
      <c r="B1768" s="19" t="n"/>
      <c r="C1768" s="19" t="n"/>
      <c r="D1768" s="19" t="n"/>
      <c r="E1768" s="19" t="n"/>
      <c r="F1768" s="19" t="n"/>
      <c r="G1768" s="19" t="n"/>
      <c r="H1768" s="19" t="n"/>
      <c r="I1768" s="19" t="n"/>
      <c r="J1768" s="19" t="n"/>
      <c r="K1768" s="19" t="n"/>
      <c r="L1768" s="19" t="n"/>
      <c r="M1768" s="19" t="n"/>
      <c r="N1768" s="19" t="n"/>
      <c r="O1768" s="19" t="n"/>
      <c r="P1768" s="19" t="n"/>
    </row>
    <row r="1769">
      <c r="A1769" s="19" t="n"/>
      <c r="B1769" s="19" t="n"/>
      <c r="C1769" s="19" t="n"/>
      <c r="D1769" s="19" t="n"/>
      <c r="E1769" s="19" t="n"/>
      <c r="F1769" s="19" t="n"/>
      <c r="G1769" s="19" t="n"/>
      <c r="H1769" s="19" t="n"/>
      <c r="I1769" s="19" t="n"/>
      <c r="J1769" s="19" t="n"/>
      <c r="K1769" s="19" t="n"/>
      <c r="L1769" s="19" t="n"/>
      <c r="M1769" s="19" t="n"/>
      <c r="N1769" s="19" t="n"/>
      <c r="O1769" s="19" t="n"/>
      <c r="P1769" s="19" t="n"/>
    </row>
    <row r="1770">
      <c r="A1770" s="19" t="n"/>
      <c r="B1770" s="19" t="n"/>
      <c r="C1770" s="19" t="n"/>
      <c r="D1770" s="19" t="n"/>
      <c r="E1770" s="19" t="n"/>
      <c r="F1770" s="19" t="n"/>
      <c r="G1770" s="19" t="n"/>
      <c r="H1770" s="19" t="n"/>
      <c r="I1770" s="19" t="n"/>
      <c r="J1770" s="19" t="n"/>
      <c r="K1770" s="19" t="n"/>
      <c r="L1770" s="19" t="n"/>
      <c r="M1770" s="19" t="n"/>
      <c r="N1770" s="19" t="n"/>
      <c r="O1770" s="19" t="n"/>
      <c r="P1770" s="19" t="n"/>
    </row>
    <row r="1771">
      <c r="A1771" s="19" t="n"/>
      <c r="B1771" s="19" t="n"/>
      <c r="C1771" s="19" t="n"/>
      <c r="D1771" s="19" t="n"/>
      <c r="E1771" s="19" t="n"/>
      <c r="F1771" s="19" t="n"/>
      <c r="G1771" s="19" t="n"/>
      <c r="H1771" s="19" t="n"/>
      <c r="I1771" s="19" t="n"/>
      <c r="J1771" s="19" t="n"/>
      <c r="K1771" s="19" t="n"/>
      <c r="L1771" s="19" t="n"/>
      <c r="M1771" s="19" t="n"/>
      <c r="N1771" s="19" t="n"/>
      <c r="O1771" s="19" t="n"/>
      <c r="P1771" s="19" t="n"/>
    </row>
    <row r="1772">
      <c r="A1772" s="19" t="n"/>
      <c r="B1772" s="19" t="n"/>
      <c r="C1772" s="19" t="n"/>
      <c r="D1772" s="19" t="n"/>
      <c r="E1772" s="19" t="n"/>
      <c r="F1772" s="19" t="n"/>
      <c r="G1772" s="19" t="n"/>
      <c r="H1772" s="19" t="n"/>
      <c r="I1772" s="19" t="n"/>
      <c r="J1772" s="19" t="n"/>
      <c r="K1772" s="19" t="n"/>
      <c r="L1772" s="19" t="n"/>
      <c r="M1772" s="19" t="n"/>
      <c r="N1772" s="19" t="n"/>
      <c r="O1772" s="19" t="n"/>
      <c r="P1772" s="19" t="n"/>
    </row>
    <row r="1773">
      <c r="A1773" s="19" t="n"/>
      <c r="B1773" s="19" t="n"/>
      <c r="C1773" s="19" t="n"/>
      <c r="D1773" s="19" t="n"/>
      <c r="E1773" s="19" t="n"/>
      <c r="F1773" s="19" t="n"/>
      <c r="G1773" s="19" t="n"/>
      <c r="H1773" s="19" t="n"/>
      <c r="I1773" s="19" t="n"/>
      <c r="J1773" s="19" t="n"/>
      <c r="K1773" s="19" t="n"/>
      <c r="L1773" s="19" t="n"/>
      <c r="M1773" s="19" t="n"/>
      <c r="N1773" s="19" t="n"/>
      <c r="O1773" s="19" t="n"/>
      <c r="P1773" s="19" t="n"/>
    </row>
    <row r="1774">
      <c r="A1774" s="19" t="n"/>
      <c r="B1774" s="19" t="n"/>
      <c r="C1774" s="19" t="n"/>
      <c r="D1774" s="19" t="n"/>
      <c r="E1774" s="19" t="n"/>
      <c r="F1774" s="19" t="n"/>
      <c r="G1774" s="19" t="n"/>
      <c r="H1774" s="19" t="n"/>
      <c r="I1774" s="19" t="n"/>
      <c r="J1774" s="19" t="n"/>
      <c r="K1774" s="19" t="n"/>
      <c r="L1774" s="19" t="n"/>
      <c r="M1774" s="19" t="n"/>
      <c r="N1774" s="19" t="n"/>
      <c r="O1774" s="19" t="n"/>
      <c r="P1774" s="19" t="n"/>
    </row>
    <row r="1775">
      <c r="A1775" s="19" t="n"/>
      <c r="B1775" s="19" t="n"/>
      <c r="C1775" s="19" t="n"/>
      <c r="D1775" s="19" t="n"/>
      <c r="E1775" s="19" t="n"/>
      <c r="F1775" s="19" t="n"/>
      <c r="G1775" s="19" t="n"/>
      <c r="H1775" s="19" t="n"/>
      <c r="I1775" s="19" t="n"/>
      <c r="J1775" s="19" t="n"/>
      <c r="K1775" s="19" t="n"/>
      <c r="L1775" s="19" t="n"/>
      <c r="M1775" s="19" t="n"/>
      <c r="N1775" s="19" t="n"/>
      <c r="O1775" s="19" t="n"/>
      <c r="P1775" s="19" t="n"/>
    </row>
    <row r="1776">
      <c r="A1776" s="19" t="n"/>
      <c r="B1776" s="19" t="n"/>
      <c r="C1776" s="19" t="n"/>
      <c r="D1776" s="19" t="n"/>
      <c r="E1776" s="19" t="n"/>
      <c r="F1776" s="19" t="n"/>
      <c r="G1776" s="19" t="n"/>
      <c r="H1776" s="19" t="n"/>
      <c r="I1776" s="19" t="n"/>
      <c r="J1776" s="19" t="n"/>
      <c r="K1776" s="19" t="n"/>
      <c r="L1776" s="19" t="n"/>
      <c r="M1776" s="19" t="n"/>
      <c r="N1776" s="19" t="n"/>
      <c r="O1776" s="19" t="n"/>
      <c r="P1776" s="19" t="n"/>
    </row>
    <row r="1777">
      <c r="A1777" s="19" t="n"/>
      <c r="B1777" s="19" t="n"/>
      <c r="C1777" s="19" t="n"/>
      <c r="D1777" s="19" t="n"/>
      <c r="E1777" s="19" t="n"/>
      <c r="F1777" s="19" t="n"/>
      <c r="G1777" s="19" t="n"/>
      <c r="H1777" s="19" t="n"/>
      <c r="I1777" s="19" t="n"/>
      <c r="J1777" s="19" t="n"/>
      <c r="K1777" s="19" t="n"/>
      <c r="L1777" s="19" t="n"/>
      <c r="M1777" s="19" t="n"/>
      <c r="N1777" s="19" t="n"/>
      <c r="O1777" s="19" t="n"/>
      <c r="P1777" s="19" t="n"/>
    </row>
    <row r="1778">
      <c r="A1778" s="19" t="n"/>
      <c r="B1778" s="19" t="n"/>
      <c r="C1778" s="19" t="n"/>
      <c r="D1778" s="19" t="n"/>
      <c r="E1778" s="19" t="n"/>
      <c r="F1778" s="19" t="n"/>
      <c r="G1778" s="19" t="n"/>
      <c r="H1778" s="19" t="n"/>
      <c r="I1778" s="19" t="n"/>
      <c r="J1778" s="19" t="n"/>
      <c r="K1778" s="19" t="n"/>
      <c r="L1778" s="19" t="n"/>
      <c r="M1778" s="19" t="n"/>
      <c r="N1778" s="19" t="n"/>
      <c r="O1778" s="19" t="n"/>
      <c r="P1778" s="19" t="n"/>
    </row>
    <row r="1779">
      <c r="A1779" s="19" t="n"/>
      <c r="B1779" s="19" t="n"/>
      <c r="C1779" s="19" t="n"/>
      <c r="D1779" s="19" t="n"/>
      <c r="E1779" s="19" t="n"/>
      <c r="F1779" s="19" t="n"/>
      <c r="G1779" s="19" t="n"/>
      <c r="H1779" s="19" t="n"/>
      <c r="I1779" s="19" t="n"/>
      <c r="J1779" s="19" t="n"/>
      <c r="K1779" s="19" t="n"/>
      <c r="L1779" s="19" t="n"/>
      <c r="M1779" s="19" t="n"/>
      <c r="N1779" s="19" t="n"/>
      <c r="O1779" s="19" t="n"/>
      <c r="P1779" s="19" t="n"/>
    </row>
    <row r="1780">
      <c r="A1780" s="19" t="n"/>
      <c r="B1780" s="19" t="n"/>
      <c r="C1780" s="19" t="n"/>
      <c r="D1780" s="19" t="n"/>
      <c r="E1780" s="19" t="n"/>
      <c r="F1780" s="19" t="n"/>
      <c r="G1780" s="19" t="n"/>
      <c r="H1780" s="19" t="n"/>
      <c r="I1780" s="19" t="n"/>
      <c r="J1780" s="19" t="n"/>
      <c r="K1780" s="19" t="n"/>
      <c r="L1780" s="19" t="n"/>
      <c r="M1780" s="19" t="n"/>
      <c r="N1780" s="19" t="n"/>
      <c r="O1780" s="19" t="n"/>
      <c r="P1780" s="19" t="n"/>
    </row>
    <row r="1781">
      <c r="A1781" s="19" t="n"/>
      <c r="B1781" s="19" t="n"/>
      <c r="C1781" s="19" t="n"/>
      <c r="D1781" s="19" t="n"/>
      <c r="E1781" s="19" t="n"/>
      <c r="F1781" s="19" t="n"/>
      <c r="G1781" s="19" t="n"/>
      <c r="H1781" s="19" t="n"/>
      <c r="I1781" s="19" t="n"/>
      <c r="J1781" s="19" t="n"/>
      <c r="K1781" s="19" t="n"/>
      <c r="L1781" s="19" t="n"/>
      <c r="M1781" s="19" t="n"/>
      <c r="N1781" s="19" t="n"/>
      <c r="O1781" s="19" t="n"/>
      <c r="P1781" s="19" t="n"/>
    </row>
    <row r="1782">
      <c r="A1782" s="19" t="n"/>
      <c r="B1782" s="19" t="n"/>
      <c r="C1782" s="19" t="n"/>
      <c r="D1782" s="19" t="n"/>
      <c r="E1782" s="19" t="n"/>
      <c r="F1782" s="19" t="n"/>
      <c r="G1782" s="19" t="n"/>
      <c r="H1782" s="19" t="n"/>
      <c r="I1782" s="19" t="n"/>
      <c r="J1782" s="19" t="n"/>
      <c r="K1782" s="19" t="n"/>
      <c r="L1782" s="19" t="n"/>
      <c r="M1782" s="19" t="n"/>
      <c r="N1782" s="19" t="n"/>
      <c r="O1782" s="19" t="n"/>
      <c r="P1782" s="19" t="n"/>
    </row>
    <row r="1783">
      <c r="A1783" s="19" t="n"/>
      <c r="B1783" s="19" t="n"/>
      <c r="C1783" s="19" t="n"/>
      <c r="D1783" s="19" t="n"/>
      <c r="E1783" s="19" t="n"/>
      <c r="F1783" s="19" t="n"/>
      <c r="G1783" s="19" t="n"/>
      <c r="H1783" s="19" t="n"/>
      <c r="I1783" s="19" t="n"/>
      <c r="J1783" s="19" t="n"/>
      <c r="K1783" s="19" t="n"/>
      <c r="L1783" s="19" t="n"/>
      <c r="M1783" s="19" t="n"/>
      <c r="N1783" s="19" t="n"/>
      <c r="O1783" s="19" t="n"/>
      <c r="P1783" s="19" t="n"/>
    </row>
    <row r="1784">
      <c r="A1784" s="19" t="n"/>
      <c r="B1784" s="19" t="n"/>
      <c r="C1784" s="19" t="n"/>
      <c r="D1784" s="19" t="n"/>
      <c r="E1784" s="19" t="n"/>
      <c r="F1784" s="19" t="n"/>
      <c r="G1784" s="19" t="n"/>
      <c r="H1784" s="19" t="n"/>
      <c r="I1784" s="19" t="n"/>
      <c r="J1784" s="19" t="n"/>
      <c r="K1784" s="19" t="n"/>
      <c r="L1784" s="19" t="n"/>
      <c r="M1784" s="19" t="n"/>
      <c r="N1784" s="19" t="n"/>
      <c r="O1784" s="19" t="n"/>
      <c r="P1784" s="19" t="n"/>
    </row>
    <row r="1785">
      <c r="A1785" s="19" t="n"/>
      <c r="B1785" s="19" t="n"/>
      <c r="C1785" s="19" t="n"/>
      <c r="D1785" s="19" t="n"/>
      <c r="E1785" s="19" t="n"/>
      <c r="F1785" s="19" t="n"/>
      <c r="G1785" s="19" t="n"/>
      <c r="H1785" s="19" t="n"/>
      <c r="I1785" s="19" t="n"/>
      <c r="J1785" s="19" t="n"/>
      <c r="K1785" s="19" t="n"/>
      <c r="L1785" s="19" t="n"/>
      <c r="M1785" s="19" t="n"/>
      <c r="N1785" s="19" t="n"/>
      <c r="O1785" s="19" t="n"/>
      <c r="P1785" s="19" t="n"/>
    </row>
    <row r="1786">
      <c r="A1786" s="19" t="n"/>
      <c r="B1786" s="19" t="n"/>
      <c r="C1786" s="19" t="n"/>
      <c r="D1786" s="19" t="n"/>
      <c r="E1786" s="19" t="n"/>
      <c r="F1786" s="19" t="n"/>
      <c r="G1786" s="19" t="n"/>
      <c r="H1786" s="19" t="n"/>
      <c r="I1786" s="19" t="n"/>
      <c r="J1786" s="19" t="n"/>
      <c r="K1786" s="19" t="n"/>
      <c r="L1786" s="19" t="n"/>
      <c r="M1786" s="19" t="n"/>
      <c r="N1786" s="19" t="n"/>
      <c r="O1786" s="19" t="n"/>
      <c r="P1786" s="19" t="n"/>
    </row>
    <row r="1787">
      <c r="A1787" s="19" t="n"/>
      <c r="B1787" s="19" t="n"/>
      <c r="C1787" s="19" t="n"/>
      <c r="D1787" s="19" t="n"/>
      <c r="E1787" s="19" t="n"/>
      <c r="F1787" s="19" t="n"/>
      <c r="G1787" s="19" t="n"/>
      <c r="H1787" s="19" t="n"/>
      <c r="I1787" s="19" t="n"/>
      <c r="J1787" s="19" t="n"/>
      <c r="K1787" s="19" t="n"/>
      <c r="L1787" s="19" t="n"/>
      <c r="M1787" s="19" t="n"/>
      <c r="N1787" s="19" t="n"/>
      <c r="O1787" s="19" t="n"/>
      <c r="P1787" s="19" t="n"/>
    </row>
    <row r="1788">
      <c r="A1788" s="19" t="n"/>
      <c r="B1788" s="19" t="n"/>
      <c r="C1788" s="19" t="n"/>
      <c r="D1788" s="19" t="n"/>
      <c r="E1788" s="19" t="n"/>
      <c r="F1788" s="19" t="n"/>
      <c r="G1788" s="19" t="n"/>
      <c r="H1788" s="19" t="n"/>
      <c r="I1788" s="19" t="n"/>
      <c r="J1788" s="19" t="n"/>
      <c r="K1788" s="19" t="n"/>
      <c r="L1788" s="19" t="n"/>
      <c r="M1788" s="19" t="n"/>
      <c r="N1788" s="19" t="n"/>
      <c r="O1788" s="19" t="n"/>
      <c r="P1788" s="19" t="n"/>
    </row>
    <row r="1789">
      <c r="A1789" s="19" t="n"/>
      <c r="B1789" s="19" t="n"/>
      <c r="C1789" s="19" t="n"/>
      <c r="D1789" s="19" t="n"/>
      <c r="E1789" s="19" t="n"/>
      <c r="F1789" s="19" t="n"/>
      <c r="G1789" s="19" t="n"/>
      <c r="H1789" s="19" t="n"/>
      <c r="I1789" s="19" t="n"/>
      <c r="J1789" s="19" t="n"/>
      <c r="K1789" s="19" t="n"/>
      <c r="L1789" s="19" t="n"/>
      <c r="M1789" s="19" t="n"/>
      <c r="N1789" s="19" t="n"/>
      <c r="O1789" s="19" t="n"/>
      <c r="P1789" s="19" t="n"/>
    </row>
    <row r="1790">
      <c r="A1790" s="19" t="n"/>
      <c r="B1790" s="19" t="n"/>
      <c r="C1790" s="19" t="n"/>
      <c r="D1790" s="19" t="n"/>
      <c r="E1790" s="19" t="n"/>
      <c r="F1790" s="19" t="n"/>
      <c r="G1790" s="19" t="n"/>
      <c r="H1790" s="19" t="n"/>
      <c r="I1790" s="19" t="n"/>
      <c r="J1790" s="19" t="n"/>
      <c r="K1790" s="19" t="n"/>
      <c r="L1790" s="19" t="n"/>
      <c r="M1790" s="19" t="n"/>
      <c r="N1790" s="19" t="n"/>
      <c r="O1790" s="19" t="n"/>
      <c r="P1790" s="19" t="n"/>
    </row>
    <row r="1791">
      <c r="A1791" s="19" t="n"/>
      <c r="B1791" s="19" t="n"/>
      <c r="C1791" s="19" t="n"/>
      <c r="D1791" s="19" t="n"/>
      <c r="E1791" s="19" t="n"/>
      <c r="F1791" s="19" t="n"/>
      <c r="G1791" s="19" t="n"/>
      <c r="H1791" s="19" t="n"/>
      <c r="I1791" s="19" t="n"/>
      <c r="J1791" s="19" t="n"/>
      <c r="K1791" s="19" t="n"/>
      <c r="L1791" s="19" t="n"/>
      <c r="M1791" s="19" t="n"/>
      <c r="N1791" s="19" t="n"/>
      <c r="O1791" s="19" t="n"/>
      <c r="P1791" s="19" t="n"/>
    </row>
    <row r="1792">
      <c r="A1792" s="19" t="n"/>
      <c r="B1792" s="19" t="n"/>
      <c r="C1792" s="19" t="n"/>
      <c r="D1792" s="19" t="n"/>
      <c r="E1792" s="19" t="n"/>
      <c r="F1792" s="19" t="n"/>
      <c r="G1792" s="19" t="n"/>
      <c r="H1792" s="19" t="n"/>
      <c r="I1792" s="19" t="n"/>
      <c r="J1792" s="19" t="n"/>
      <c r="K1792" s="19" t="n"/>
      <c r="L1792" s="19" t="n"/>
      <c r="M1792" s="19" t="n"/>
      <c r="N1792" s="19" t="n"/>
      <c r="O1792" s="19" t="n"/>
      <c r="P1792" s="19" t="n"/>
    </row>
    <row r="1793">
      <c r="A1793" s="19" t="n"/>
      <c r="B1793" s="19" t="n"/>
      <c r="C1793" s="19" t="n"/>
      <c r="D1793" s="19" t="n"/>
      <c r="E1793" s="19" t="n"/>
      <c r="F1793" s="19" t="n"/>
      <c r="G1793" s="19" t="n"/>
      <c r="H1793" s="19" t="n"/>
      <c r="I1793" s="19" t="n"/>
      <c r="J1793" s="19" t="n"/>
      <c r="K1793" s="19" t="n"/>
      <c r="L1793" s="19" t="n"/>
      <c r="M1793" s="19" t="n"/>
      <c r="N1793" s="19" t="n"/>
      <c r="O1793" s="19" t="n"/>
      <c r="P1793" s="19" t="n"/>
    </row>
    <row r="1794">
      <c r="A1794" s="19" t="n"/>
      <c r="B1794" s="19" t="n"/>
      <c r="C1794" s="19" t="n"/>
      <c r="D1794" s="19" t="n"/>
      <c r="E1794" s="19" t="n"/>
      <c r="F1794" s="19" t="n"/>
      <c r="G1794" s="19" t="n"/>
      <c r="H1794" s="19" t="n"/>
      <c r="I1794" s="19" t="n"/>
      <c r="J1794" s="19" t="n"/>
      <c r="K1794" s="19" t="n"/>
      <c r="L1794" s="19" t="n"/>
      <c r="M1794" s="19" t="n"/>
      <c r="N1794" s="19" t="n"/>
      <c r="O1794" s="19" t="n"/>
      <c r="P1794" s="19" t="n"/>
    </row>
    <row r="1795">
      <c r="A1795" s="19" t="n"/>
      <c r="B1795" s="19" t="n"/>
      <c r="C1795" s="19" t="n"/>
      <c r="D1795" s="19" t="n"/>
      <c r="E1795" s="19" t="n"/>
      <c r="F1795" s="19" t="n"/>
      <c r="G1795" s="19" t="n"/>
      <c r="H1795" s="19" t="n"/>
      <c r="I1795" s="19" t="n"/>
      <c r="J1795" s="19" t="n"/>
      <c r="K1795" s="19" t="n"/>
      <c r="L1795" s="19" t="n"/>
      <c r="M1795" s="19" t="n"/>
      <c r="N1795" s="19" t="n"/>
      <c r="O1795" s="19" t="n"/>
      <c r="P1795" s="19" t="n"/>
    </row>
    <row r="1796">
      <c r="A1796" s="19" t="n"/>
      <c r="B1796" s="19" t="n"/>
      <c r="C1796" s="19" t="n"/>
      <c r="D1796" s="19" t="n"/>
      <c r="E1796" s="19" t="n"/>
      <c r="F1796" s="19" t="n"/>
      <c r="G1796" s="19" t="n"/>
      <c r="H1796" s="19" t="n"/>
      <c r="I1796" s="19" t="n"/>
      <c r="J1796" s="19" t="n"/>
      <c r="K1796" s="19" t="n"/>
      <c r="L1796" s="19" t="n"/>
      <c r="M1796" s="19" t="n"/>
      <c r="N1796" s="19" t="n"/>
      <c r="O1796" s="19" t="n"/>
      <c r="P1796" s="19" t="n"/>
    </row>
    <row r="1797">
      <c r="A1797" s="19" t="n"/>
      <c r="B1797" s="19" t="n"/>
      <c r="C1797" s="19" t="n"/>
      <c r="D1797" s="19" t="n"/>
      <c r="E1797" s="19" t="n"/>
      <c r="F1797" s="19" t="n"/>
      <c r="G1797" s="19" t="n"/>
      <c r="H1797" s="19" t="n"/>
      <c r="I1797" s="19" t="n"/>
      <c r="J1797" s="19" t="n"/>
      <c r="K1797" s="19" t="n"/>
      <c r="L1797" s="19" t="n"/>
      <c r="M1797" s="19" t="n"/>
      <c r="N1797" s="19" t="n"/>
      <c r="O1797" s="19" t="n"/>
      <c r="P1797" s="19" t="n"/>
    </row>
    <row r="1798">
      <c r="A1798" s="19" t="n"/>
      <c r="B1798" s="19" t="n"/>
      <c r="C1798" s="19" t="n"/>
      <c r="D1798" s="19" t="n"/>
      <c r="E1798" s="19" t="n"/>
      <c r="F1798" s="19" t="n"/>
      <c r="G1798" s="19" t="n"/>
      <c r="H1798" s="19" t="n"/>
      <c r="I1798" s="19" t="n"/>
      <c r="J1798" s="19" t="n"/>
      <c r="K1798" s="19" t="n"/>
      <c r="L1798" s="19" t="n"/>
      <c r="M1798" s="19" t="n"/>
      <c r="N1798" s="19" t="n"/>
      <c r="O1798" s="19" t="n"/>
      <c r="P1798" s="19" t="n"/>
    </row>
    <row r="1799">
      <c r="A1799" s="19" t="n"/>
      <c r="B1799" s="19" t="n"/>
      <c r="C1799" s="19" t="n"/>
      <c r="D1799" s="19" t="n"/>
      <c r="E1799" s="19" t="n"/>
      <c r="F1799" s="19" t="n"/>
      <c r="G1799" s="19" t="n"/>
      <c r="H1799" s="19" t="n"/>
      <c r="I1799" s="19" t="n"/>
      <c r="J1799" s="19" t="n"/>
      <c r="K1799" s="19" t="n"/>
      <c r="L1799" s="19" t="n"/>
      <c r="M1799" s="19" t="n"/>
      <c r="N1799" s="19" t="n"/>
      <c r="O1799" s="19" t="n"/>
      <c r="P1799" s="19" t="n"/>
    </row>
    <row r="1800">
      <c r="A1800" s="19" t="n"/>
      <c r="B1800" s="19" t="n"/>
      <c r="C1800" s="19" t="n"/>
      <c r="D1800" s="19" t="n"/>
      <c r="E1800" s="19" t="n"/>
      <c r="F1800" s="19" t="n"/>
      <c r="G1800" s="19" t="n"/>
      <c r="H1800" s="19" t="n"/>
      <c r="I1800" s="19" t="n"/>
      <c r="J1800" s="19" t="n"/>
      <c r="K1800" s="19" t="n"/>
      <c r="L1800" s="19" t="n"/>
      <c r="M1800" s="19" t="n"/>
      <c r="N1800" s="19" t="n"/>
      <c r="O1800" s="19" t="n"/>
      <c r="P1800" s="19" t="n"/>
    </row>
    <row r="1801">
      <c r="A1801" s="19" t="n"/>
      <c r="B1801" s="19" t="n"/>
      <c r="C1801" s="19" t="n"/>
      <c r="D1801" s="19" t="n"/>
      <c r="E1801" s="19" t="n"/>
      <c r="F1801" s="19" t="n"/>
      <c r="G1801" s="19" t="n"/>
      <c r="H1801" s="19" t="n"/>
      <c r="I1801" s="19" t="n"/>
      <c r="J1801" s="19" t="n"/>
      <c r="K1801" s="19" t="n"/>
      <c r="L1801" s="19" t="n"/>
      <c r="M1801" s="19" t="n"/>
      <c r="N1801" s="19" t="n"/>
      <c r="O1801" s="19" t="n"/>
      <c r="P1801" s="19" t="n"/>
    </row>
    <row r="1802">
      <c r="A1802" s="19" t="n"/>
      <c r="B1802" s="19" t="n"/>
      <c r="C1802" s="19" t="n"/>
      <c r="D1802" s="19" t="n"/>
      <c r="E1802" s="19" t="n"/>
      <c r="F1802" s="19" t="n"/>
      <c r="G1802" s="19" t="n"/>
      <c r="H1802" s="19" t="n"/>
      <c r="I1802" s="19" t="n"/>
      <c r="J1802" s="19" t="n"/>
      <c r="K1802" s="19" t="n"/>
      <c r="L1802" s="19" t="n"/>
      <c r="M1802" s="19" t="n"/>
      <c r="N1802" s="19" t="n"/>
      <c r="O1802" s="19" t="n"/>
      <c r="P1802" s="19" t="n"/>
    </row>
    <row r="1803">
      <c r="A1803" s="19" t="n"/>
      <c r="B1803" s="19" t="n"/>
      <c r="C1803" s="19" t="n"/>
      <c r="D1803" s="19" t="n"/>
      <c r="E1803" s="19" t="n"/>
      <c r="F1803" s="19" t="n"/>
      <c r="G1803" s="19" t="n"/>
      <c r="H1803" s="19" t="n"/>
      <c r="I1803" s="19" t="n"/>
      <c r="J1803" s="19" t="n"/>
      <c r="K1803" s="19" t="n"/>
      <c r="L1803" s="19" t="n"/>
      <c r="M1803" s="19" t="n"/>
      <c r="N1803" s="19" t="n"/>
      <c r="O1803" s="19" t="n"/>
      <c r="P1803" s="19" t="n"/>
    </row>
    <row r="1804">
      <c r="A1804" s="19" t="n"/>
      <c r="B1804" s="19" t="n"/>
      <c r="C1804" s="19" t="n"/>
      <c r="D1804" s="19" t="n"/>
      <c r="E1804" s="19" t="n"/>
      <c r="F1804" s="19" t="n"/>
      <c r="G1804" s="19" t="n"/>
      <c r="H1804" s="19" t="n"/>
      <c r="I1804" s="19" t="n"/>
      <c r="J1804" s="19" t="n"/>
      <c r="K1804" s="19" t="n"/>
      <c r="L1804" s="19" t="n"/>
      <c r="M1804" s="19" t="n"/>
      <c r="N1804" s="19" t="n"/>
      <c r="O1804" s="19" t="n"/>
      <c r="P1804" s="19" t="n"/>
    </row>
    <row r="1805">
      <c r="A1805" s="19" t="n"/>
      <c r="B1805" s="19" t="n"/>
      <c r="C1805" s="19" t="n"/>
      <c r="D1805" s="19" t="n"/>
      <c r="E1805" s="19" t="n"/>
      <c r="F1805" s="19" t="n"/>
      <c r="G1805" s="19" t="n"/>
      <c r="H1805" s="19" t="n"/>
      <c r="I1805" s="19" t="n"/>
      <c r="J1805" s="19" t="n"/>
      <c r="K1805" s="19" t="n"/>
      <c r="L1805" s="19" t="n"/>
      <c r="M1805" s="19" t="n"/>
      <c r="N1805" s="19" t="n"/>
      <c r="O1805" s="19" t="n"/>
      <c r="P1805" s="19" t="n"/>
    </row>
    <row r="1806">
      <c r="A1806" s="19" t="n"/>
      <c r="B1806" s="19" t="n"/>
      <c r="C1806" s="19" t="n"/>
      <c r="D1806" s="19" t="n"/>
      <c r="E1806" s="19" t="n"/>
      <c r="F1806" s="19" t="n"/>
      <c r="G1806" s="19" t="n"/>
      <c r="H1806" s="19" t="n"/>
      <c r="I1806" s="19" t="n"/>
      <c r="J1806" s="19" t="n"/>
      <c r="K1806" s="19" t="n"/>
      <c r="L1806" s="19" t="n"/>
      <c r="M1806" s="19" t="n"/>
      <c r="N1806" s="19" t="n"/>
      <c r="O1806" s="19" t="n"/>
      <c r="P1806" s="19" t="n"/>
    </row>
    <row r="1807">
      <c r="A1807" s="19" t="n"/>
      <c r="B1807" s="19" t="n"/>
      <c r="C1807" s="19" t="n"/>
      <c r="D1807" s="19" t="n"/>
      <c r="E1807" s="19" t="n"/>
      <c r="F1807" s="19" t="n"/>
      <c r="G1807" s="19" t="n"/>
      <c r="H1807" s="19" t="n"/>
      <c r="I1807" s="19" t="n"/>
      <c r="J1807" s="19" t="n"/>
      <c r="K1807" s="19" t="n"/>
      <c r="L1807" s="19" t="n"/>
      <c r="M1807" s="19" t="n"/>
      <c r="N1807" s="19" t="n"/>
      <c r="O1807" s="19" t="n"/>
      <c r="P1807" s="19" t="n"/>
    </row>
    <row r="1808">
      <c r="A1808" s="19" t="n"/>
      <c r="B1808" s="19" t="n"/>
      <c r="C1808" s="19" t="n"/>
      <c r="D1808" s="19" t="n"/>
      <c r="E1808" s="19" t="n"/>
      <c r="F1808" s="19" t="n"/>
      <c r="G1808" s="19" t="n"/>
      <c r="H1808" s="19" t="n"/>
      <c r="I1808" s="19" t="n"/>
      <c r="J1808" s="19" t="n"/>
      <c r="K1808" s="19" t="n"/>
      <c r="L1808" s="19" t="n"/>
      <c r="M1808" s="19" t="n"/>
      <c r="N1808" s="19" t="n"/>
      <c r="O1808" s="19" t="n"/>
      <c r="P1808" s="19" t="n"/>
    </row>
    <row r="1809">
      <c r="A1809" s="19" t="n"/>
      <c r="B1809" s="19" t="n"/>
      <c r="C1809" s="19" t="n"/>
      <c r="D1809" s="19" t="n"/>
      <c r="E1809" s="19" t="n"/>
      <c r="F1809" s="19" t="n"/>
      <c r="G1809" s="19" t="n"/>
      <c r="H1809" s="19" t="n"/>
      <c r="I1809" s="19" t="n"/>
      <c r="J1809" s="19" t="n"/>
      <c r="K1809" s="19" t="n"/>
      <c r="L1809" s="19" t="n"/>
      <c r="M1809" s="19" t="n"/>
      <c r="N1809" s="19" t="n"/>
      <c r="O1809" s="19" t="n"/>
      <c r="P1809" s="19" t="n"/>
    </row>
    <row r="1810">
      <c r="A1810" s="19" t="n"/>
      <c r="B1810" s="19" t="n"/>
      <c r="C1810" s="19" t="n"/>
      <c r="D1810" s="19" t="n"/>
      <c r="E1810" s="19" t="n"/>
      <c r="F1810" s="19" t="n"/>
      <c r="G1810" s="19" t="n"/>
      <c r="H1810" s="19" t="n"/>
      <c r="I1810" s="19" t="n"/>
      <c r="J1810" s="19" t="n"/>
      <c r="K1810" s="19" t="n"/>
      <c r="L1810" s="19" t="n"/>
      <c r="M1810" s="19" t="n"/>
      <c r="N1810" s="19" t="n"/>
      <c r="O1810" s="19" t="n"/>
      <c r="P1810" s="19" t="n"/>
    </row>
    <row r="1811">
      <c r="A1811" s="19" t="n"/>
      <c r="B1811" s="19" t="n"/>
      <c r="C1811" s="19" t="n"/>
      <c r="D1811" s="19" t="n"/>
      <c r="E1811" s="19" t="n"/>
      <c r="F1811" s="19" t="n"/>
      <c r="G1811" s="19" t="n"/>
      <c r="H1811" s="19" t="n"/>
      <c r="I1811" s="19" t="n"/>
      <c r="J1811" s="19" t="n"/>
      <c r="K1811" s="19" t="n"/>
      <c r="L1811" s="19" t="n"/>
      <c r="M1811" s="19" t="n"/>
      <c r="N1811" s="19" t="n"/>
      <c r="O1811" s="19" t="n"/>
      <c r="P1811" s="19" t="n"/>
    </row>
    <row r="1812">
      <c r="A1812" s="19" t="n"/>
      <c r="B1812" s="19" t="n"/>
      <c r="C1812" s="19" t="n"/>
      <c r="D1812" s="19" t="n"/>
      <c r="E1812" s="19" t="n"/>
      <c r="F1812" s="19" t="n"/>
      <c r="G1812" s="19" t="n"/>
      <c r="H1812" s="19" t="n"/>
      <c r="I1812" s="19" t="n"/>
      <c r="J1812" s="19" t="n"/>
      <c r="K1812" s="19" t="n"/>
      <c r="L1812" s="19" t="n"/>
      <c r="M1812" s="19" t="n"/>
      <c r="N1812" s="19" t="n"/>
      <c r="O1812" s="19" t="n"/>
      <c r="P1812" s="19" t="n"/>
    </row>
    <row r="1813">
      <c r="A1813" s="19" t="n"/>
      <c r="B1813" s="19" t="n"/>
      <c r="C1813" s="19" t="n"/>
      <c r="D1813" s="19" t="n"/>
      <c r="E1813" s="19" t="n"/>
      <c r="F1813" s="19" t="n"/>
      <c r="G1813" s="19" t="n"/>
      <c r="H1813" s="19" t="n"/>
      <c r="I1813" s="19" t="n"/>
      <c r="J1813" s="19" t="n"/>
      <c r="K1813" s="19" t="n"/>
      <c r="L1813" s="19" t="n"/>
      <c r="M1813" s="19" t="n"/>
      <c r="N1813" s="19" t="n"/>
      <c r="O1813" s="19" t="n"/>
      <c r="P1813" s="19" t="n"/>
    </row>
    <row r="1814">
      <c r="A1814" s="19" t="n"/>
      <c r="B1814" s="19" t="n"/>
      <c r="C1814" s="19" t="n"/>
      <c r="D1814" s="19" t="n"/>
      <c r="E1814" s="19" t="n"/>
      <c r="F1814" s="19" t="n"/>
      <c r="G1814" s="19" t="n"/>
      <c r="H1814" s="19" t="n"/>
      <c r="I1814" s="19" t="n"/>
      <c r="J1814" s="19" t="n"/>
      <c r="K1814" s="19" t="n"/>
      <c r="L1814" s="19" t="n"/>
      <c r="M1814" s="19" t="n"/>
      <c r="N1814" s="19" t="n"/>
      <c r="O1814" s="19" t="n"/>
      <c r="P1814" s="19" t="n"/>
    </row>
    <row r="1815">
      <c r="A1815" s="19" t="n"/>
      <c r="B1815" s="19" t="n"/>
      <c r="C1815" s="19" t="n"/>
      <c r="D1815" s="19" t="n"/>
      <c r="E1815" s="19" t="n"/>
      <c r="F1815" s="19" t="n"/>
      <c r="G1815" s="19" t="n"/>
      <c r="H1815" s="19" t="n"/>
      <c r="I1815" s="19" t="n"/>
      <c r="J1815" s="19" t="n"/>
      <c r="K1815" s="19" t="n"/>
      <c r="L1815" s="19" t="n"/>
      <c r="M1815" s="19" t="n"/>
      <c r="N1815" s="19" t="n"/>
      <c r="O1815" s="19" t="n"/>
      <c r="P1815" s="19" t="n"/>
    </row>
    <row r="1816">
      <c r="A1816" s="19" t="n"/>
      <c r="B1816" s="19" t="n"/>
      <c r="C1816" s="19" t="n"/>
      <c r="D1816" s="19" t="n"/>
      <c r="E1816" s="19" t="n"/>
      <c r="F1816" s="19" t="n"/>
      <c r="G1816" s="19" t="n"/>
      <c r="H1816" s="19" t="n"/>
      <c r="I1816" s="19" t="n"/>
      <c r="J1816" s="19" t="n"/>
      <c r="K1816" s="19" t="n"/>
      <c r="L1816" s="19" t="n"/>
      <c r="M1816" s="19" t="n"/>
      <c r="N1816" s="19" t="n"/>
      <c r="O1816" s="19" t="n"/>
      <c r="P1816" s="19" t="n"/>
    </row>
    <row r="1817">
      <c r="A1817" s="19" t="n"/>
      <c r="B1817" s="19" t="n"/>
      <c r="C1817" s="19" t="n"/>
      <c r="D1817" s="19" t="n"/>
      <c r="E1817" s="19" t="n"/>
      <c r="F1817" s="19" t="n"/>
      <c r="G1817" s="19" t="n"/>
      <c r="H1817" s="19" t="n"/>
      <c r="I1817" s="19" t="n"/>
      <c r="J1817" s="19" t="n"/>
      <c r="K1817" s="19" t="n"/>
      <c r="L1817" s="19" t="n"/>
      <c r="M1817" s="19" t="n"/>
      <c r="N1817" s="19" t="n"/>
      <c r="O1817" s="19" t="n"/>
      <c r="P1817" s="19" t="n"/>
    </row>
    <row r="1818">
      <c r="A1818" s="19" t="n"/>
      <c r="B1818" s="19" t="n"/>
      <c r="C1818" s="19" t="n"/>
      <c r="D1818" s="19" t="n"/>
      <c r="E1818" s="19" t="n"/>
      <c r="F1818" s="19" t="n"/>
      <c r="G1818" s="19" t="n"/>
      <c r="H1818" s="19" t="n"/>
      <c r="I1818" s="19" t="n"/>
      <c r="J1818" s="19" t="n"/>
      <c r="K1818" s="19" t="n"/>
      <c r="L1818" s="19" t="n"/>
      <c r="M1818" s="19" t="n"/>
      <c r="N1818" s="19" t="n"/>
      <c r="O1818" s="19" t="n"/>
      <c r="P1818" s="19" t="n"/>
    </row>
    <row r="1819">
      <c r="A1819" s="19" t="n"/>
      <c r="B1819" s="19" t="n"/>
      <c r="C1819" s="19" t="n"/>
      <c r="D1819" s="19" t="n"/>
      <c r="E1819" s="19" t="n"/>
      <c r="F1819" s="19" t="n"/>
      <c r="G1819" s="19" t="n"/>
      <c r="H1819" s="19" t="n"/>
      <c r="I1819" s="19" t="n"/>
      <c r="J1819" s="19" t="n"/>
      <c r="K1819" s="19" t="n"/>
      <c r="L1819" s="19" t="n"/>
      <c r="M1819" s="19" t="n"/>
      <c r="N1819" s="19" t="n"/>
      <c r="O1819" s="19" t="n"/>
      <c r="P1819" s="19" t="n"/>
    </row>
    <row r="1820">
      <c r="A1820" s="19" t="n"/>
      <c r="B1820" s="19" t="n"/>
      <c r="C1820" s="19" t="n"/>
      <c r="D1820" s="19" t="n"/>
      <c r="E1820" s="19" t="n"/>
      <c r="F1820" s="19" t="n"/>
      <c r="G1820" s="19" t="n"/>
      <c r="H1820" s="19" t="n"/>
      <c r="I1820" s="19" t="n"/>
      <c r="J1820" s="19" t="n"/>
      <c r="K1820" s="19" t="n"/>
      <c r="L1820" s="19" t="n"/>
      <c r="M1820" s="19" t="n"/>
      <c r="N1820" s="19" t="n"/>
      <c r="O1820" s="19" t="n"/>
      <c r="P1820" s="19" t="n"/>
    </row>
    <row r="1821">
      <c r="A1821" s="19" t="n"/>
      <c r="B1821" s="19" t="n"/>
      <c r="C1821" s="19" t="n"/>
      <c r="D1821" s="19" t="n"/>
      <c r="E1821" s="19" t="n"/>
      <c r="F1821" s="19" t="n"/>
      <c r="G1821" s="19" t="n"/>
      <c r="H1821" s="19" t="n"/>
      <c r="I1821" s="19" t="n"/>
      <c r="J1821" s="19" t="n"/>
      <c r="K1821" s="19" t="n"/>
      <c r="L1821" s="19" t="n"/>
      <c r="M1821" s="19" t="n"/>
      <c r="N1821" s="19" t="n"/>
      <c r="O1821" s="19" t="n"/>
      <c r="P1821" s="19" t="n"/>
    </row>
    <row r="1822">
      <c r="A1822" s="19" t="n"/>
      <c r="B1822" s="19" t="n"/>
      <c r="C1822" s="19" t="n"/>
      <c r="D1822" s="19" t="n"/>
      <c r="E1822" s="19" t="n"/>
      <c r="F1822" s="19" t="n"/>
      <c r="G1822" s="19" t="n"/>
      <c r="H1822" s="19" t="n"/>
      <c r="I1822" s="19" t="n"/>
      <c r="J1822" s="19" t="n"/>
      <c r="K1822" s="19" t="n"/>
      <c r="L1822" s="19" t="n"/>
      <c r="M1822" s="19" t="n"/>
      <c r="N1822" s="19" t="n"/>
      <c r="O1822" s="19" t="n"/>
      <c r="P1822" s="19" t="n"/>
    </row>
    <row r="1823">
      <c r="A1823" s="19" t="n"/>
      <c r="B1823" s="19" t="n"/>
      <c r="C1823" s="19" t="n"/>
      <c r="D1823" s="19" t="n"/>
      <c r="E1823" s="19" t="n"/>
      <c r="F1823" s="19" t="n"/>
      <c r="G1823" s="19" t="n"/>
      <c r="H1823" s="19" t="n"/>
      <c r="I1823" s="19" t="n"/>
      <c r="J1823" s="19" t="n"/>
      <c r="K1823" s="19" t="n"/>
      <c r="L1823" s="19" t="n"/>
      <c r="M1823" s="19" t="n"/>
      <c r="N1823" s="19" t="n"/>
      <c r="O1823" s="19" t="n"/>
      <c r="P1823" s="19" t="n"/>
    </row>
    <row r="1824">
      <c r="A1824" s="19" t="n"/>
      <c r="B1824" s="19" t="n"/>
      <c r="C1824" s="19" t="n"/>
      <c r="D1824" s="19" t="n"/>
      <c r="E1824" s="19" t="n"/>
      <c r="F1824" s="19" t="n"/>
      <c r="G1824" s="19" t="n"/>
      <c r="H1824" s="19" t="n"/>
      <c r="I1824" s="19" t="n"/>
      <c r="J1824" s="19" t="n"/>
      <c r="K1824" s="19" t="n"/>
      <c r="L1824" s="19" t="n"/>
      <c r="M1824" s="19" t="n"/>
      <c r="N1824" s="19" t="n"/>
      <c r="O1824" s="19" t="n"/>
      <c r="P1824" s="19" t="n"/>
    </row>
    <row r="1825">
      <c r="A1825" s="19" t="n"/>
      <c r="B1825" s="19" t="n"/>
      <c r="C1825" s="19" t="n"/>
      <c r="D1825" s="19" t="n"/>
      <c r="E1825" s="19" t="n"/>
      <c r="F1825" s="19" t="n"/>
      <c r="G1825" s="19" t="n"/>
      <c r="H1825" s="19" t="n"/>
      <c r="I1825" s="19" t="n"/>
      <c r="J1825" s="19" t="n"/>
      <c r="K1825" s="19" t="n"/>
      <c r="L1825" s="19" t="n"/>
      <c r="M1825" s="19" t="n"/>
      <c r="N1825" s="19" t="n"/>
      <c r="O1825" s="19" t="n"/>
      <c r="P1825" s="19" t="n"/>
    </row>
    <row r="1826">
      <c r="A1826" s="19" t="n"/>
      <c r="B1826" s="19" t="n"/>
      <c r="C1826" s="19" t="n"/>
      <c r="D1826" s="19" t="n"/>
      <c r="E1826" s="19" t="n"/>
      <c r="F1826" s="19" t="n"/>
      <c r="G1826" s="19" t="n"/>
      <c r="H1826" s="19" t="n"/>
      <c r="I1826" s="19" t="n"/>
      <c r="J1826" s="19" t="n"/>
      <c r="K1826" s="19" t="n"/>
      <c r="L1826" s="19" t="n"/>
      <c r="M1826" s="19" t="n"/>
      <c r="N1826" s="19" t="n"/>
      <c r="O1826" s="19" t="n"/>
      <c r="P1826" s="19" t="n"/>
    </row>
    <row r="1827">
      <c r="A1827" s="19" t="n"/>
      <c r="B1827" s="19" t="n"/>
      <c r="C1827" s="19" t="n"/>
      <c r="D1827" s="19" t="n"/>
      <c r="E1827" s="19" t="n"/>
      <c r="F1827" s="19" t="n"/>
      <c r="G1827" s="19" t="n"/>
      <c r="H1827" s="19" t="n"/>
      <c r="I1827" s="19" t="n"/>
      <c r="J1827" s="19" t="n"/>
      <c r="K1827" s="19" t="n"/>
      <c r="L1827" s="19" t="n"/>
      <c r="M1827" s="19" t="n"/>
      <c r="N1827" s="19" t="n"/>
      <c r="O1827" s="19" t="n"/>
      <c r="P1827" s="19" t="n"/>
    </row>
    <row r="1828">
      <c r="A1828" s="19" t="n"/>
      <c r="B1828" s="19" t="n"/>
      <c r="C1828" s="19" t="n"/>
      <c r="D1828" s="19" t="n"/>
      <c r="E1828" s="19" t="n"/>
      <c r="F1828" s="19" t="n"/>
      <c r="G1828" s="19" t="n"/>
      <c r="H1828" s="19" t="n"/>
      <c r="I1828" s="19" t="n"/>
      <c r="J1828" s="19" t="n"/>
      <c r="K1828" s="19" t="n"/>
      <c r="L1828" s="19" t="n"/>
      <c r="M1828" s="19" t="n"/>
      <c r="N1828" s="19" t="n"/>
      <c r="O1828" s="19" t="n"/>
      <c r="P1828" s="19" t="n"/>
    </row>
    <row r="1829">
      <c r="A1829" s="19" t="n"/>
      <c r="B1829" s="19" t="n"/>
      <c r="C1829" s="19" t="n"/>
      <c r="D1829" s="19" t="n"/>
      <c r="E1829" s="19" t="n"/>
      <c r="F1829" s="19" t="n"/>
      <c r="G1829" s="19" t="n"/>
      <c r="H1829" s="19" t="n"/>
      <c r="I1829" s="19" t="n"/>
      <c r="J1829" s="19" t="n"/>
      <c r="K1829" s="19" t="n"/>
      <c r="L1829" s="19" t="n"/>
      <c r="M1829" s="19" t="n"/>
      <c r="N1829" s="19" t="n"/>
      <c r="O1829" s="19" t="n"/>
      <c r="P1829" s="19" t="n"/>
    </row>
    <row r="1830">
      <c r="A1830" s="19" t="n"/>
      <c r="B1830" s="19" t="n"/>
      <c r="C1830" s="19" t="n"/>
      <c r="D1830" s="19" t="n"/>
      <c r="E1830" s="19" t="n"/>
      <c r="F1830" s="19" t="n"/>
      <c r="G1830" s="19" t="n"/>
      <c r="H1830" s="19" t="n"/>
      <c r="I1830" s="19" t="n"/>
      <c r="J1830" s="19" t="n"/>
      <c r="K1830" s="19" t="n"/>
      <c r="L1830" s="19" t="n"/>
      <c r="M1830" s="19" t="n"/>
      <c r="N1830" s="19" t="n"/>
      <c r="O1830" s="19" t="n"/>
      <c r="P1830" s="19" t="n"/>
    </row>
    <row r="1831">
      <c r="A1831" s="19" t="n"/>
      <c r="B1831" s="19" t="n"/>
      <c r="C1831" s="19" t="n"/>
      <c r="D1831" s="19" t="n"/>
      <c r="E1831" s="19" t="n"/>
      <c r="F1831" s="19" t="n"/>
      <c r="G1831" s="19" t="n"/>
      <c r="H1831" s="19" t="n"/>
      <c r="I1831" s="19" t="n"/>
      <c r="J1831" s="19" t="n"/>
      <c r="K1831" s="19" t="n"/>
      <c r="L1831" s="19" t="n"/>
      <c r="M1831" s="19" t="n"/>
      <c r="N1831" s="19" t="n"/>
      <c r="O1831" s="19" t="n"/>
      <c r="P1831" s="19" t="n"/>
    </row>
    <row r="1832">
      <c r="A1832" s="19" t="n"/>
      <c r="B1832" s="19" t="n"/>
      <c r="C1832" s="19" t="n"/>
      <c r="D1832" s="19" t="n"/>
      <c r="E1832" s="19" t="n"/>
      <c r="F1832" s="19" t="n"/>
      <c r="G1832" s="19" t="n"/>
      <c r="H1832" s="19" t="n"/>
      <c r="I1832" s="19" t="n"/>
      <c r="J1832" s="19" t="n"/>
      <c r="K1832" s="19" t="n"/>
      <c r="L1832" s="19" t="n"/>
      <c r="M1832" s="19" t="n"/>
      <c r="N1832" s="19" t="n"/>
      <c r="O1832" s="19" t="n"/>
      <c r="P1832" s="19" t="n"/>
    </row>
    <row r="1833">
      <c r="A1833" s="19" t="n"/>
      <c r="B1833" s="19" t="n"/>
      <c r="C1833" s="19" t="n"/>
      <c r="D1833" s="19" t="n"/>
      <c r="E1833" s="19" t="n"/>
      <c r="F1833" s="19" t="n"/>
      <c r="G1833" s="19" t="n"/>
      <c r="H1833" s="19" t="n"/>
      <c r="I1833" s="19" t="n"/>
      <c r="J1833" s="19" t="n"/>
      <c r="K1833" s="19" t="n"/>
      <c r="L1833" s="19" t="n"/>
      <c r="M1833" s="19" t="n"/>
      <c r="N1833" s="19" t="n"/>
      <c r="O1833" s="19" t="n"/>
      <c r="P1833" s="19" t="n"/>
    </row>
    <row r="1834">
      <c r="A1834" s="19" t="n"/>
      <c r="B1834" s="19" t="n"/>
      <c r="C1834" s="19" t="n"/>
      <c r="D1834" s="19" t="n"/>
      <c r="E1834" s="19" t="n"/>
      <c r="F1834" s="19" t="n"/>
      <c r="G1834" s="19" t="n"/>
      <c r="H1834" s="19" t="n"/>
      <c r="I1834" s="19" t="n"/>
      <c r="J1834" s="19" t="n"/>
      <c r="K1834" s="19" t="n"/>
      <c r="L1834" s="19" t="n"/>
      <c r="M1834" s="19" t="n"/>
      <c r="N1834" s="19" t="n"/>
      <c r="O1834" s="19" t="n"/>
      <c r="P1834" s="19" t="n"/>
    </row>
    <row r="1835">
      <c r="A1835" s="19" t="n"/>
      <c r="B1835" s="19" t="n"/>
      <c r="C1835" s="19" t="n"/>
      <c r="D1835" s="19" t="n"/>
      <c r="E1835" s="19" t="n"/>
      <c r="F1835" s="19" t="n"/>
      <c r="G1835" s="19" t="n"/>
      <c r="H1835" s="19" t="n"/>
      <c r="I1835" s="19" t="n"/>
      <c r="J1835" s="19" t="n"/>
      <c r="K1835" s="19" t="n"/>
      <c r="L1835" s="19" t="n"/>
      <c r="M1835" s="19" t="n"/>
      <c r="N1835" s="19" t="n"/>
      <c r="O1835" s="19" t="n"/>
      <c r="P1835" s="19" t="n"/>
    </row>
    <row r="1836">
      <c r="A1836" s="19" t="n"/>
      <c r="B1836" s="19" t="n"/>
      <c r="C1836" s="19" t="n"/>
      <c r="D1836" s="19" t="n"/>
      <c r="E1836" s="19" t="n"/>
      <c r="F1836" s="19" t="n"/>
      <c r="G1836" s="19" t="n"/>
      <c r="H1836" s="19" t="n"/>
      <c r="I1836" s="19" t="n"/>
      <c r="J1836" s="19" t="n"/>
      <c r="K1836" s="19" t="n"/>
      <c r="L1836" s="19" t="n"/>
      <c r="M1836" s="19" t="n"/>
      <c r="N1836" s="19" t="n"/>
      <c r="O1836" s="19" t="n"/>
      <c r="P1836" s="19" t="n"/>
    </row>
    <row r="1837">
      <c r="A1837" s="19" t="n"/>
      <c r="B1837" s="19" t="n"/>
      <c r="C1837" s="19" t="n"/>
      <c r="D1837" s="19" t="n"/>
      <c r="E1837" s="19" t="n"/>
      <c r="F1837" s="19" t="n"/>
      <c r="G1837" s="19" t="n"/>
      <c r="H1837" s="19" t="n"/>
      <c r="I1837" s="19" t="n"/>
      <c r="J1837" s="19" t="n"/>
      <c r="K1837" s="19" t="n"/>
      <c r="L1837" s="19" t="n"/>
      <c r="M1837" s="19" t="n"/>
      <c r="N1837" s="19" t="n"/>
      <c r="O1837" s="19" t="n"/>
      <c r="P1837" s="19" t="n"/>
    </row>
    <row r="1838">
      <c r="A1838" s="19" t="n"/>
      <c r="B1838" s="19" t="n"/>
      <c r="C1838" s="19" t="n"/>
      <c r="D1838" s="19" t="n"/>
      <c r="E1838" s="19" t="n"/>
      <c r="F1838" s="19" t="n"/>
      <c r="G1838" s="19" t="n"/>
      <c r="H1838" s="19" t="n"/>
      <c r="I1838" s="19" t="n"/>
      <c r="J1838" s="19" t="n"/>
      <c r="K1838" s="19" t="n"/>
      <c r="L1838" s="19" t="n"/>
      <c r="M1838" s="19" t="n"/>
      <c r="N1838" s="19" t="n"/>
      <c r="O1838" s="19" t="n"/>
      <c r="P1838" s="19" t="n"/>
    </row>
    <row r="1839">
      <c r="A1839" s="19" t="n"/>
      <c r="B1839" s="19" t="n"/>
      <c r="C1839" s="19" t="n"/>
      <c r="D1839" s="19" t="n"/>
      <c r="E1839" s="19" t="n"/>
      <c r="F1839" s="19" t="n"/>
      <c r="G1839" s="19" t="n"/>
      <c r="H1839" s="19" t="n"/>
      <c r="I1839" s="19" t="n"/>
      <c r="J1839" s="19" t="n"/>
      <c r="K1839" s="19" t="n"/>
      <c r="L1839" s="19" t="n"/>
      <c r="M1839" s="19" t="n"/>
      <c r="N1839" s="19" t="n"/>
      <c r="O1839" s="19" t="n"/>
      <c r="P1839" s="19" t="n"/>
    </row>
    <row r="1840">
      <c r="A1840" s="19" t="n"/>
      <c r="B1840" s="19" t="n"/>
      <c r="C1840" s="19" t="n"/>
      <c r="D1840" s="19" t="n"/>
      <c r="E1840" s="19" t="n"/>
      <c r="F1840" s="19" t="n"/>
      <c r="G1840" s="19" t="n"/>
      <c r="H1840" s="19" t="n"/>
      <c r="I1840" s="19" t="n"/>
      <c r="J1840" s="19" t="n"/>
      <c r="K1840" s="19" t="n"/>
      <c r="L1840" s="19" t="n"/>
      <c r="M1840" s="19" t="n"/>
      <c r="N1840" s="19" t="n"/>
      <c r="O1840" s="19" t="n"/>
      <c r="P1840" s="19" t="n"/>
    </row>
    <row r="1841">
      <c r="A1841" s="19" t="n"/>
      <c r="B1841" s="19" t="n"/>
      <c r="C1841" s="19" t="n"/>
      <c r="D1841" s="19" t="n"/>
      <c r="E1841" s="19" t="n"/>
      <c r="F1841" s="19" t="n"/>
      <c r="G1841" s="19" t="n"/>
      <c r="H1841" s="19" t="n"/>
      <c r="I1841" s="19" t="n"/>
      <c r="J1841" s="19" t="n"/>
      <c r="K1841" s="19" t="n"/>
      <c r="L1841" s="19" t="n"/>
      <c r="M1841" s="19" t="n"/>
      <c r="N1841" s="19" t="n"/>
      <c r="O1841" s="19" t="n"/>
      <c r="P1841" s="19" t="n"/>
    </row>
    <row r="1842">
      <c r="A1842" s="19" t="n"/>
      <c r="B1842" s="19" t="n"/>
      <c r="C1842" s="19" t="n"/>
      <c r="D1842" s="19" t="n"/>
      <c r="E1842" s="19" t="n"/>
      <c r="F1842" s="19" t="n"/>
      <c r="G1842" s="19" t="n"/>
      <c r="H1842" s="19" t="n"/>
      <c r="I1842" s="19" t="n"/>
      <c r="J1842" s="19" t="n"/>
      <c r="K1842" s="19" t="n"/>
      <c r="L1842" s="19" t="n"/>
      <c r="M1842" s="19" t="n"/>
      <c r="N1842" s="19" t="n"/>
      <c r="O1842" s="19" t="n"/>
      <c r="P1842" s="19" t="n"/>
    </row>
    <row r="1843">
      <c r="A1843" s="19" t="n"/>
      <c r="B1843" s="19" t="n"/>
      <c r="C1843" s="19" t="n"/>
      <c r="D1843" s="19" t="n"/>
      <c r="E1843" s="19" t="n"/>
      <c r="F1843" s="19" t="n"/>
      <c r="G1843" s="19" t="n"/>
      <c r="H1843" s="19" t="n"/>
      <c r="I1843" s="19" t="n"/>
      <c r="J1843" s="19" t="n"/>
      <c r="K1843" s="19" t="n"/>
      <c r="L1843" s="19" t="n"/>
      <c r="M1843" s="19" t="n"/>
      <c r="N1843" s="19" t="n"/>
      <c r="O1843" s="19" t="n"/>
      <c r="P1843" s="19" t="n"/>
    </row>
    <row r="1844">
      <c r="A1844" s="19" t="n"/>
      <c r="B1844" s="19" t="n"/>
      <c r="C1844" s="19" t="n"/>
      <c r="D1844" s="19" t="n"/>
      <c r="E1844" s="19" t="n"/>
      <c r="F1844" s="19" t="n"/>
      <c r="G1844" s="19" t="n"/>
      <c r="H1844" s="19" t="n"/>
      <c r="I1844" s="19" t="n"/>
      <c r="J1844" s="19" t="n"/>
      <c r="K1844" s="19" t="n"/>
      <c r="L1844" s="19" t="n"/>
      <c r="M1844" s="19" t="n"/>
      <c r="N1844" s="19" t="n"/>
      <c r="O1844" s="19" t="n"/>
      <c r="P1844" s="19" t="n"/>
    </row>
    <row r="1845">
      <c r="A1845" s="19" t="n"/>
      <c r="B1845" s="19" t="n"/>
      <c r="C1845" s="19" t="n"/>
      <c r="D1845" s="19" t="n"/>
      <c r="E1845" s="19" t="n"/>
      <c r="F1845" s="19" t="n"/>
      <c r="G1845" s="19" t="n"/>
      <c r="H1845" s="19" t="n"/>
      <c r="I1845" s="19" t="n"/>
      <c r="J1845" s="19" t="n"/>
      <c r="K1845" s="19" t="n"/>
      <c r="L1845" s="19" t="n"/>
      <c r="M1845" s="19" t="n"/>
      <c r="N1845" s="19" t="n"/>
      <c r="O1845" s="19" t="n"/>
      <c r="P1845" s="19" t="n"/>
    </row>
    <row r="1846">
      <c r="A1846" s="19" t="n"/>
      <c r="B1846" s="19" t="n"/>
      <c r="C1846" s="19" t="n"/>
      <c r="D1846" s="19" t="n"/>
      <c r="E1846" s="19" t="n"/>
      <c r="F1846" s="19" t="n"/>
      <c r="G1846" s="19" t="n"/>
      <c r="H1846" s="19" t="n"/>
      <c r="I1846" s="19" t="n"/>
      <c r="J1846" s="19" t="n"/>
      <c r="K1846" s="19" t="n"/>
      <c r="L1846" s="19" t="n"/>
      <c r="M1846" s="19" t="n"/>
      <c r="N1846" s="19" t="n"/>
      <c r="O1846" s="19" t="n"/>
      <c r="P1846" s="19" t="n"/>
    </row>
    <row r="1847">
      <c r="A1847" s="19" t="n"/>
      <c r="B1847" s="19" t="n"/>
      <c r="C1847" s="19" t="n"/>
      <c r="D1847" s="19" t="n"/>
      <c r="E1847" s="19" t="n"/>
      <c r="F1847" s="19" t="n"/>
      <c r="G1847" s="19" t="n"/>
      <c r="H1847" s="19" t="n"/>
      <c r="I1847" s="19" t="n"/>
      <c r="J1847" s="19" t="n"/>
      <c r="K1847" s="19" t="n"/>
      <c r="L1847" s="19" t="n"/>
      <c r="M1847" s="19" t="n"/>
      <c r="N1847" s="19" t="n"/>
      <c r="O1847" s="19" t="n"/>
      <c r="P1847" s="19" t="n"/>
    </row>
    <row r="1848">
      <c r="A1848" s="19" t="n"/>
      <c r="B1848" s="19" t="n"/>
      <c r="C1848" s="19" t="n"/>
      <c r="D1848" s="19" t="n"/>
      <c r="E1848" s="19" t="n"/>
      <c r="F1848" s="19" t="n"/>
      <c r="G1848" s="19" t="n"/>
      <c r="H1848" s="19" t="n"/>
      <c r="I1848" s="19" t="n"/>
      <c r="J1848" s="19" t="n"/>
      <c r="K1848" s="19" t="n"/>
      <c r="L1848" s="19" t="n"/>
      <c r="M1848" s="19" t="n"/>
      <c r="N1848" s="19" t="n"/>
      <c r="O1848" s="19" t="n"/>
      <c r="P1848" s="19" t="n"/>
    </row>
    <row r="1849">
      <c r="A1849" s="19" t="n"/>
      <c r="B1849" s="19" t="n"/>
      <c r="C1849" s="19" t="n"/>
      <c r="D1849" s="19" t="n"/>
      <c r="E1849" s="19" t="n"/>
      <c r="F1849" s="19" t="n"/>
      <c r="G1849" s="19" t="n"/>
      <c r="H1849" s="19" t="n"/>
      <c r="I1849" s="19" t="n"/>
      <c r="J1849" s="19" t="n"/>
      <c r="K1849" s="19" t="n"/>
      <c r="L1849" s="19" t="n"/>
      <c r="M1849" s="19" t="n"/>
      <c r="N1849" s="19" t="n"/>
      <c r="O1849" s="19" t="n"/>
      <c r="P1849" s="19" t="n"/>
    </row>
    <row r="1850">
      <c r="A1850" s="19" t="n"/>
      <c r="B1850" s="19" t="n"/>
      <c r="C1850" s="19" t="n"/>
      <c r="D1850" s="19" t="n"/>
      <c r="E1850" s="19" t="n"/>
      <c r="F1850" s="19" t="n"/>
      <c r="G1850" s="19" t="n"/>
      <c r="H1850" s="19" t="n"/>
      <c r="I1850" s="19" t="n"/>
      <c r="J1850" s="19" t="n"/>
      <c r="K1850" s="19" t="n"/>
      <c r="L1850" s="19" t="n"/>
      <c r="M1850" s="19" t="n"/>
      <c r="N1850" s="19" t="n"/>
      <c r="O1850" s="19" t="n"/>
      <c r="P1850" s="19" t="n"/>
    </row>
    <row r="1851">
      <c r="A1851" s="19" t="n"/>
      <c r="B1851" s="19" t="n"/>
      <c r="C1851" s="19" t="n"/>
      <c r="D1851" s="19" t="n"/>
      <c r="E1851" s="19" t="n"/>
      <c r="F1851" s="19" t="n"/>
      <c r="G1851" s="19" t="n"/>
      <c r="H1851" s="19" t="n"/>
      <c r="I1851" s="19" t="n"/>
      <c r="J1851" s="19" t="n"/>
      <c r="K1851" s="19" t="n"/>
      <c r="L1851" s="19" t="n"/>
      <c r="M1851" s="19" t="n"/>
      <c r="N1851" s="19" t="n"/>
      <c r="O1851" s="19" t="n"/>
      <c r="P1851" s="19" t="n"/>
    </row>
    <row r="1852">
      <c r="A1852" s="19" t="n"/>
      <c r="B1852" s="19" t="n"/>
      <c r="C1852" s="19" t="n"/>
      <c r="D1852" s="19" t="n"/>
      <c r="E1852" s="19" t="n"/>
      <c r="F1852" s="19" t="n"/>
      <c r="G1852" s="19" t="n"/>
      <c r="H1852" s="19" t="n"/>
      <c r="I1852" s="19" t="n"/>
      <c r="J1852" s="19" t="n"/>
      <c r="K1852" s="19" t="n"/>
      <c r="L1852" s="19" t="n"/>
      <c r="M1852" s="19" t="n"/>
      <c r="N1852" s="19" t="n"/>
      <c r="O1852" s="19" t="n"/>
      <c r="P1852" s="19" t="n"/>
    </row>
    <row r="1853">
      <c r="A1853" s="19" t="n"/>
      <c r="B1853" s="19" t="n"/>
      <c r="C1853" s="19" t="n"/>
      <c r="D1853" s="19" t="n"/>
      <c r="E1853" s="19" t="n"/>
      <c r="F1853" s="19" t="n"/>
      <c r="G1853" s="19" t="n"/>
      <c r="H1853" s="19" t="n"/>
      <c r="I1853" s="19" t="n"/>
      <c r="J1853" s="19" t="n"/>
      <c r="K1853" s="19" t="n"/>
      <c r="L1853" s="19" t="n"/>
      <c r="M1853" s="19" t="n"/>
      <c r="N1853" s="19" t="n"/>
      <c r="O1853" s="19" t="n"/>
      <c r="P1853" s="19" t="n"/>
    </row>
    <row r="1854">
      <c r="A1854" s="19" t="n"/>
      <c r="B1854" s="19" t="n"/>
      <c r="C1854" s="19" t="n"/>
      <c r="D1854" s="19" t="n"/>
      <c r="E1854" s="19" t="n"/>
      <c r="F1854" s="19" t="n"/>
      <c r="G1854" s="19" t="n"/>
      <c r="H1854" s="19" t="n"/>
      <c r="I1854" s="19" t="n"/>
      <c r="J1854" s="19" t="n"/>
      <c r="K1854" s="19" t="n"/>
      <c r="L1854" s="19" t="n"/>
      <c r="M1854" s="19" t="n"/>
      <c r="N1854" s="19" t="n"/>
      <c r="O1854" s="19" t="n"/>
      <c r="P1854" s="19" t="n"/>
    </row>
    <row r="1855">
      <c r="A1855" s="19" t="n"/>
      <c r="B1855" s="19" t="n"/>
      <c r="C1855" s="19" t="n"/>
      <c r="D1855" s="19" t="n"/>
      <c r="E1855" s="19" t="n"/>
      <c r="F1855" s="19" t="n"/>
      <c r="G1855" s="19" t="n"/>
      <c r="H1855" s="19" t="n"/>
      <c r="I1855" s="19" t="n"/>
      <c r="J1855" s="19" t="n"/>
      <c r="K1855" s="19" t="n"/>
      <c r="L1855" s="19" t="n"/>
      <c r="M1855" s="19" t="n"/>
      <c r="N1855" s="19" t="n"/>
      <c r="O1855" s="19" t="n"/>
      <c r="P1855" s="19" t="n"/>
    </row>
    <row r="1856">
      <c r="A1856" s="19" t="n"/>
      <c r="B1856" s="19" t="n"/>
      <c r="C1856" s="19" t="n"/>
      <c r="D1856" s="19" t="n"/>
      <c r="E1856" s="19" t="n"/>
      <c r="F1856" s="19" t="n"/>
      <c r="G1856" s="19" t="n"/>
      <c r="H1856" s="19" t="n"/>
      <c r="I1856" s="19" t="n"/>
      <c r="J1856" s="19" t="n"/>
      <c r="K1856" s="19" t="n"/>
      <c r="L1856" s="19" t="n"/>
      <c r="M1856" s="19" t="n"/>
      <c r="N1856" s="19" t="n"/>
      <c r="O1856" s="19" t="n"/>
      <c r="P1856" s="19" t="n"/>
    </row>
    <row r="1857">
      <c r="A1857" s="19" t="n"/>
      <c r="B1857" s="19" t="n"/>
      <c r="C1857" s="19" t="n"/>
      <c r="D1857" s="19" t="n"/>
      <c r="E1857" s="19" t="n"/>
      <c r="F1857" s="19" t="n"/>
      <c r="G1857" s="19" t="n"/>
      <c r="H1857" s="19" t="n"/>
      <c r="I1857" s="19" t="n"/>
      <c r="J1857" s="19" t="n"/>
      <c r="K1857" s="19" t="n"/>
      <c r="L1857" s="19" t="n"/>
      <c r="M1857" s="19" t="n"/>
      <c r="N1857" s="19" t="n"/>
      <c r="O1857" s="19" t="n"/>
      <c r="P1857" s="19" t="n"/>
    </row>
    <row r="1858">
      <c r="A1858" s="19" t="n"/>
      <c r="B1858" s="19" t="n"/>
      <c r="C1858" s="19" t="n"/>
      <c r="D1858" s="19" t="n"/>
      <c r="E1858" s="19" t="n"/>
      <c r="F1858" s="19" t="n"/>
      <c r="G1858" s="19" t="n"/>
      <c r="H1858" s="19" t="n"/>
      <c r="I1858" s="19" t="n"/>
      <c r="J1858" s="19" t="n"/>
      <c r="K1858" s="19" t="n"/>
      <c r="L1858" s="19" t="n"/>
      <c r="M1858" s="19" t="n"/>
      <c r="N1858" s="19" t="n"/>
      <c r="O1858" s="19" t="n"/>
      <c r="P1858" s="19" t="n"/>
    </row>
    <row r="1859">
      <c r="A1859" s="19" t="n"/>
      <c r="B1859" s="19" t="n"/>
      <c r="C1859" s="19" t="n"/>
      <c r="D1859" s="19" t="n"/>
      <c r="E1859" s="19" t="n"/>
      <c r="F1859" s="19" t="n"/>
      <c r="G1859" s="19" t="n"/>
      <c r="H1859" s="19" t="n"/>
      <c r="I1859" s="19" t="n"/>
      <c r="J1859" s="19" t="n"/>
      <c r="K1859" s="19" t="n"/>
      <c r="L1859" s="19" t="n"/>
      <c r="M1859" s="19" t="n"/>
      <c r="N1859" s="19" t="n"/>
      <c r="O1859" s="19" t="n"/>
      <c r="P1859" s="19" t="n"/>
    </row>
    <row r="1860">
      <c r="A1860" s="19" t="n"/>
      <c r="B1860" s="19" t="n"/>
      <c r="C1860" s="19" t="n"/>
      <c r="D1860" s="19" t="n"/>
      <c r="E1860" s="19" t="n"/>
      <c r="F1860" s="19" t="n"/>
      <c r="G1860" s="19" t="n"/>
      <c r="H1860" s="19" t="n"/>
      <c r="I1860" s="19" t="n"/>
      <c r="J1860" s="19" t="n"/>
      <c r="K1860" s="19" t="n"/>
      <c r="L1860" s="19" t="n"/>
      <c r="M1860" s="19" t="n"/>
      <c r="N1860" s="19" t="n"/>
      <c r="O1860" s="19" t="n"/>
      <c r="P1860" s="19" t="n"/>
    </row>
    <row r="1861">
      <c r="A1861" s="19" t="n"/>
      <c r="B1861" s="19" t="n"/>
      <c r="C1861" s="19" t="n"/>
      <c r="D1861" s="19" t="n"/>
      <c r="E1861" s="19" t="n"/>
      <c r="F1861" s="19" t="n"/>
      <c r="G1861" s="19" t="n"/>
      <c r="H1861" s="19" t="n"/>
      <c r="I1861" s="19" t="n"/>
      <c r="J1861" s="19" t="n"/>
      <c r="K1861" s="19" t="n"/>
      <c r="L1861" s="19" t="n"/>
      <c r="M1861" s="19" t="n"/>
      <c r="N1861" s="19" t="n"/>
      <c r="O1861" s="19" t="n"/>
      <c r="P1861" s="19" t="n"/>
    </row>
    <row r="1862">
      <c r="A1862" s="19" t="n"/>
      <c r="B1862" s="19" t="n"/>
      <c r="C1862" s="19" t="n"/>
      <c r="D1862" s="19" t="n"/>
      <c r="E1862" s="19" t="n"/>
      <c r="F1862" s="19" t="n"/>
      <c r="G1862" s="19" t="n"/>
      <c r="H1862" s="19" t="n"/>
      <c r="I1862" s="19" t="n"/>
      <c r="J1862" s="19" t="n"/>
      <c r="K1862" s="19" t="n"/>
      <c r="L1862" s="19" t="n"/>
      <c r="M1862" s="19" t="n"/>
      <c r="N1862" s="19" t="n"/>
      <c r="O1862" s="19" t="n"/>
      <c r="P1862" s="19" t="n"/>
    </row>
    <row r="1863">
      <c r="A1863" s="19" t="n"/>
      <c r="B1863" s="19" t="n"/>
      <c r="C1863" s="19" t="n"/>
      <c r="D1863" s="19" t="n"/>
      <c r="E1863" s="19" t="n"/>
      <c r="F1863" s="19" t="n"/>
      <c r="G1863" s="19" t="n"/>
      <c r="H1863" s="19" t="n"/>
      <c r="I1863" s="19" t="n"/>
      <c r="J1863" s="19" t="n"/>
      <c r="K1863" s="19" t="n"/>
      <c r="L1863" s="19" t="n"/>
      <c r="M1863" s="19" t="n"/>
      <c r="N1863" s="19" t="n"/>
      <c r="O1863" s="19" t="n"/>
      <c r="P1863" s="19" t="n"/>
    </row>
    <row r="1864">
      <c r="A1864" s="19" t="n"/>
      <c r="B1864" s="19" t="n"/>
      <c r="C1864" s="19" t="n"/>
      <c r="D1864" s="19" t="n"/>
      <c r="E1864" s="19" t="n"/>
      <c r="F1864" s="19" t="n"/>
      <c r="G1864" s="19" t="n"/>
      <c r="H1864" s="19" t="n"/>
      <c r="I1864" s="19" t="n"/>
      <c r="J1864" s="19" t="n"/>
      <c r="K1864" s="19" t="n"/>
      <c r="L1864" s="19" t="n"/>
      <c r="M1864" s="19" t="n"/>
      <c r="N1864" s="19" t="n"/>
      <c r="O1864" s="19" t="n"/>
      <c r="P1864" s="19" t="n"/>
    </row>
    <row r="1865">
      <c r="A1865" s="19" t="n"/>
      <c r="B1865" s="19" t="n"/>
      <c r="C1865" s="19" t="n"/>
      <c r="D1865" s="19" t="n"/>
      <c r="E1865" s="19" t="n"/>
      <c r="F1865" s="19" t="n"/>
      <c r="G1865" s="19" t="n"/>
      <c r="H1865" s="19" t="n"/>
      <c r="I1865" s="19" t="n"/>
      <c r="J1865" s="19" t="n"/>
      <c r="K1865" s="19" t="n"/>
      <c r="L1865" s="19" t="n"/>
      <c r="M1865" s="19" t="n"/>
      <c r="N1865" s="19" t="n"/>
      <c r="O1865" s="19" t="n"/>
      <c r="P1865" s="19" t="n"/>
    </row>
    <row r="1866">
      <c r="A1866" s="19" t="n"/>
      <c r="B1866" s="19" t="n"/>
      <c r="C1866" s="19" t="n"/>
      <c r="D1866" s="19" t="n"/>
      <c r="E1866" s="19" t="n"/>
      <c r="F1866" s="19" t="n"/>
      <c r="G1866" s="19" t="n"/>
      <c r="H1866" s="19" t="n"/>
      <c r="I1866" s="19" t="n"/>
      <c r="J1866" s="19" t="n"/>
      <c r="K1866" s="19" t="n"/>
      <c r="L1866" s="19" t="n"/>
      <c r="M1866" s="19" t="n"/>
      <c r="N1866" s="19" t="n"/>
      <c r="O1866" s="19" t="n"/>
      <c r="P1866" s="19" t="n"/>
    </row>
    <row r="1867">
      <c r="A1867" s="19" t="n"/>
      <c r="B1867" s="19" t="n"/>
      <c r="C1867" s="19" t="n"/>
      <c r="D1867" s="19" t="n"/>
      <c r="E1867" s="19" t="n"/>
      <c r="F1867" s="19" t="n"/>
      <c r="G1867" s="19" t="n"/>
      <c r="H1867" s="19" t="n"/>
      <c r="I1867" s="19" t="n"/>
      <c r="J1867" s="19" t="n"/>
      <c r="K1867" s="19" t="n"/>
      <c r="L1867" s="19" t="n"/>
      <c r="M1867" s="19" t="n"/>
      <c r="N1867" s="19" t="n"/>
      <c r="O1867" s="19" t="n"/>
      <c r="P1867" s="19" t="n"/>
    </row>
    <row r="1868">
      <c r="A1868" s="19" t="n"/>
      <c r="B1868" s="19" t="n"/>
      <c r="C1868" s="19" t="n"/>
      <c r="D1868" s="19" t="n"/>
      <c r="E1868" s="19" t="n"/>
      <c r="F1868" s="19" t="n"/>
      <c r="G1868" s="19" t="n"/>
      <c r="H1868" s="19" t="n"/>
      <c r="I1868" s="19" t="n"/>
      <c r="J1868" s="19" t="n"/>
      <c r="K1868" s="19" t="n"/>
      <c r="L1868" s="19" t="n"/>
      <c r="M1868" s="19" t="n"/>
      <c r="N1868" s="19" t="n"/>
      <c r="O1868" s="19" t="n"/>
      <c r="P1868" s="19" t="n"/>
    </row>
    <row r="1869">
      <c r="A1869" s="19" t="n"/>
      <c r="B1869" s="19" t="n"/>
      <c r="C1869" s="19" t="n"/>
      <c r="D1869" s="19" t="n"/>
      <c r="E1869" s="19" t="n"/>
      <c r="F1869" s="19" t="n"/>
      <c r="G1869" s="19" t="n"/>
      <c r="H1869" s="19" t="n"/>
      <c r="I1869" s="19" t="n"/>
      <c r="J1869" s="19" t="n"/>
      <c r="K1869" s="19" t="n"/>
      <c r="L1869" s="19" t="n"/>
      <c r="M1869" s="19" t="n"/>
      <c r="N1869" s="19" t="n"/>
      <c r="O1869" s="19" t="n"/>
      <c r="P1869" s="19" t="n"/>
    </row>
    <row r="1870">
      <c r="A1870" s="19" t="n"/>
      <c r="B1870" s="19" t="n"/>
      <c r="C1870" s="19" t="n"/>
      <c r="D1870" s="19" t="n"/>
      <c r="E1870" s="19" t="n"/>
      <c r="F1870" s="19" t="n"/>
      <c r="G1870" s="19" t="n"/>
      <c r="H1870" s="19" t="n"/>
      <c r="I1870" s="19" t="n"/>
      <c r="J1870" s="19" t="n"/>
      <c r="K1870" s="19" t="n"/>
      <c r="L1870" s="19" t="n"/>
      <c r="M1870" s="19" t="n"/>
      <c r="N1870" s="19" t="n"/>
      <c r="O1870" s="19" t="n"/>
      <c r="P1870" s="19" t="n"/>
    </row>
    <row r="1871">
      <c r="A1871" s="19" t="n"/>
      <c r="B1871" s="19" t="n"/>
      <c r="C1871" s="19" t="n"/>
      <c r="D1871" s="19" t="n"/>
      <c r="E1871" s="19" t="n"/>
      <c r="F1871" s="19" t="n"/>
      <c r="G1871" s="19" t="n"/>
      <c r="H1871" s="19" t="n"/>
      <c r="I1871" s="19" t="n"/>
      <c r="J1871" s="19" t="n"/>
      <c r="K1871" s="19" t="n"/>
      <c r="L1871" s="19" t="n"/>
      <c r="M1871" s="19" t="n"/>
      <c r="N1871" s="19" t="n"/>
      <c r="O1871" s="19" t="n"/>
      <c r="P1871" s="19" t="n"/>
    </row>
    <row r="1872">
      <c r="A1872" s="19" t="n"/>
      <c r="B1872" s="19" t="n"/>
      <c r="C1872" s="19" t="n"/>
      <c r="D1872" s="19" t="n"/>
      <c r="E1872" s="19" t="n"/>
      <c r="F1872" s="19" t="n"/>
      <c r="G1872" s="19" t="n"/>
      <c r="H1872" s="19" t="n"/>
      <c r="I1872" s="19" t="n"/>
      <c r="J1872" s="19" t="n"/>
      <c r="K1872" s="19" t="n"/>
      <c r="L1872" s="19" t="n"/>
      <c r="M1872" s="19" t="n"/>
      <c r="N1872" s="19" t="n"/>
      <c r="O1872" s="19" t="n"/>
      <c r="P1872" s="19" t="n"/>
    </row>
    <row r="1873">
      <c r="A1873" s="19" t="n"/>
      <c r="B1873" s="19" t="n"/>
      <c r="C1873" s="19" t="n"/>
      <c r="D1873" s="19" t="n"/>
      <c r="E1873" s="19" t="n"/>
      <c r="F1873" s="19" t="n"/>
      <c r="G1873" s="19" t="n"/>
      <c r="H1873" s="19" t="n"/>
      <c r="I1873" s="19" t="n"/>
      <c r="J1873" s="19" t="n"/>
      <c r="K1873" s="19" t="n"/>
      <c r="L1873" s="19" t="n"/>
      <c r="M1873" s="19" t="n"/>
      <c r="N1873" s="19" t="n"/>
      <c r="O1873" s="19" t="n"/>
      <c r="P1873" s="19" t="n"/>
    </row>
    <row r="1874">
      <c r="A1874" s="19" t="n"/>
      <c r="B1874" s="19" t="n"/>
      <c r="C1874" s="19" t="n"/>
      <c r="D1874" s="19" t="n"/>
      <c r="E1874" s="19" t="n"/>
      <c r="F1874" s="19" t="n"/>
      <c r="G1874" s="19" t="n"/>
      <c r="H1874" s="19" t="n"/>
      <c r="I1874" s="19" t="n"/>
      <c r="J1874" s="19" t="n"/>
      <c r="K1874" s="19" t="n"/>
      <c r="L1874" s="19" t="n"/>
      <c r="M1874" s="19" t="n"/>
      <c r="N1874" s="19" t="n"/>
      <c r="O1874" s="19" t="n"/>
      <c r="P1874" s="19" t="n"/>
    </row>
    <row r="1875">
      <c r="A1875" s="19" t="n"/>
      <c r="B1875" s="19" t="n"/>
      <c r="C1875" s="19" t="n"/>
      <c r="D1875" s="19" t="n"/>
      <c r="E1875" s="19" t="n"/>
      <c r="F1875" s="19" t="n"/>
      <c r="G1875" s="19" t="n"/>
      <c r="H1875" s="19" t="n"/>
      <c r="I1875" s="19" t="n"/>
      <c r="J1875" s="19" t="n"/>
      <c r="K1875" s="19" t="n"/>
      <c r="L1875" s="19" t="n"/>
      <c r="M1875" s="19" t="n"/>
      <c r="N1875" s="19" t="n"/>
      <c r="O1875" s="19" t="n"/>
      <c r="P1875" s="19" t="n"/>
    </row>
    <row r="1876">
      <c r="A1876" s="19" t="n"/>
      <c r="B1876" s="19" t="n"/>
      <c r="C1876" s="19" t="n"/>
      <c r="D1876" s="19" t="n"/>
      <c r="E1876" s="19" t="n"/>
      <c r="F1876" s="19" t="n"/>
      <c r="G1876" s="19" t="n"/>
      <c r="H1876" s="19" t="n"/>
      <c r="I1876" s="19" t="n"/>
      <c r="J1876" s="19" t="n"/>
      <c r="K1876" s="19" t="n"/>
      <c r="L1876" s="19" t="n"/>
      <c r="M1876" s="19" t="n"/>
      <c r="N1876" s="19" t="n"/>
      <c r="O1876" s="19" t="n"/>
      <c r="P1876" s="19" t="n"/>
    </row>
    <row r="1877">
      <c r="A1877" s="19" t="n"/>
      <c r="B1877" s="19" t="n"/>
      <c r="C1877" s="19" t="n"/>
      <c r="D1877" s="19" t="n"/>
      <c r="E1877" s="19" t="n"/>
      <c r="F1877" s="19" t="n"/>
      <c r="G1877" s="19" t="n"/>
      <c r="H1877" s="19" t="n"/>
      <c r="I1877" s="19" t="n"/>
      <c r="J1877" s="19" t="n"/>
      <c r="K1877" s="19" t="n"/>
      <c r="L1877" s="19" t="n"/>
      <c r="M1877" s="19" t="n"/>
      <c r="N1877" s="19" t="n"/>
      <c r="O1877" s="19" t="n"/>
      <c r="P1877" s="19" t="n"/>
    </row>
    <row r="1878">
      <c r="A1878" s="19" t="n"/>
      <c r="B1878" s="19" t="n"/>
      <c r="C1878" s="19" t="n"/>
      <c r="D1878" s="19" t="n"/>
      <c r="E1878" s="19" t="n"/>
      <c r="F1878" s="19" t="n"/>
      <c r="G1878" s="19" t="n"/>
      <c r="H1878" s="19" t="n"/>
      <c r="I1878" s="19" t="n"/>
      <c r="J1878" s="19" t="n"/>
      <c r="K1878" s="19" t="n"/>
      <c r="L1878" s="19" t="n"/>
      <c r="M1878" s="19" t="n"/>
      <c r="N1878" s="19" t="n"/>
      <c r="O1878" s="19" t="n"/>
      <c r="P1878" s="19" t="n"/>
    </row>
    <row r="1879">
      <c r="A1879" s="19" t="n"/>
      <c r="B1879" s="19" t="n"/>
      <c r="C1879" s="19" t="n"/>
      <c r="D1879" s="19" t="n"/>
      <c r="E1879" s="19" t="n"/>
      <c r="F1879" s="19" t="n"/>
      <c r="G1879" s="19" t="n"/>
      <c r="H1879" s="19" t="n"/>
      <c r="I1879" s="19" t="n"/>
      <c r="J1879" s="19" t="n"/>
      <c r="K1879" s="19" t="n"/>
      <c r="L1879" s="19" t="n"/>
      <c r="M1879" s="19" t="n"/>
      <c r="N1879" s="19" t="n"/>
      <c r="O1879" s="19" t="n"/>
      <c r="P1879" s="19" t="n"/>
    </row>
    <row r="1880">
      <c r="A1880" s="19" t="n"/>
      <c r="B1880" s="19" t="n"/>
      <c r="C1880" s="19" t="n"/>
      <c r="D1880" s="19" t="n"/>
      <c r="E1880" s="19" t="n"/>
      <c r="F1880" s="19" t="n"/>
      <c r="G1880" s="19" t="n"/>
      <c r="H1880" s="19" t="n"/>
      <c r="I1880" s="19" t="n"/>
      <c r="J1880" s="19" t="n"/>
      <c r="K1880" s="19" t="n"/>
      <c r="L1880" s="19" t="n"/>
      <c r="M1880" s="19" t="n"/>
      <c r="N1880" s="19" t="n"/>
      <c r="O1880" s="19" t="n"/>
      <c r="P1880" s="19" t="n"/>
    </row>
    <row r="1881">
      <c r="A1881" s="19" t="n"/>
      <c r="B1881" s="19" t="n"/>
      <c r="C1881" s="19" t="n"/>
      <c r="D1881" s="19" t="n"/>
      <c r="E1881" s="19" t="n"/>
      <c r="F1881" s="19" t="n"/>
      <c r="G1881" s="19" t="n"/>
      <c r="H1881" s="19" t="n"/>
      <c r="I1881" s="19" t="n"/>
      <c r="J1881" s="19" t="n"/>
      <c r="K1881" s="19" t="n"/>
      <c r="L1881" s="19" t="n"/>
      <c r="M1881" s="19" t="n"/>
      <c r="N1881" s="19" t="n"/>
      <c r="O1881" s="19" t="n"/>
      <c r="P1881" s="19" t="n"/>
    </row>
    <row r="1882">
      <c r="A1882" s="19" t="n"/>
      <c r="B1882" s="19" t="n"/>
      <c r="C1882" s="19" t="n"/>
      <c r="D1882" s="19" t="n"/>
      <c r="E1882" s="19" t="n"/>
      <c r="F1882" s="19" t="n"/>
      <c r="G1882" s="19" t="n"/>
      <c r="H1882" s="19" t="n"/>
      <c r="I1882" s="19" t="n"/>
      <c r="J1882" s="19" t="n"/>
      <c r="K1882" s="19" t="n"/>
      <c r="L1882" s="19" t="n"/>
      <c r="M1882" s="19" t="n"/>
      <c r="N1882" s="19" t="n"/>
      <c r="O1882" s="19" t="n"/>
      <c r="P1882" s="19" t="n"/>
    </row>
    <row r="1883">
      <c r="A1883" s="19" t="n"/>
      <c r="B1883" s="19" t="n"/>
      <c r="C1883" s="19" t="n"/>
      <c r="D1883" s="19" t="n"/>
      <c r="E1883" s="19" t="n"/>
      <c r="F1883" s="19" t="n"/>
      <c r="G1883" s="19" t="n"/>
      <c r="H1883" s="19" t="n"/>
      <c r="I1883" s="19" t="n"/>
      <c r="J1883" s="19" t="n"/>
      <c r="K1883" s="19" t="n"/>
      <c r="L1883" s="19" t="n"/>
      <c r="M1883" s="19" t="n"/>
      <c r="N1883" s="19" t="n"/>
      <c r="O1883" s="19" t="n"/>
      <c r="P1883" s="19" t="n"/>
    </row>
    <row r="1884">
      <c r="A1884" s="19" t="n"/>
      <c r="B1884" s="19" t="n"/>
      <c r="C1884" s="19" t="n"/>
      <c r="D1884" s="19" t="n"/>
      <c r="E1884" s="19" t="n"/>
      <c r="F1884" s="19" t="n"/>
      <c r="G1884" s="19" t="n"/>
      <c r="H1884" s="19" t="n"/>
      <c r="I1884" s="19" t="n"/>
      <c r="J1884" s="19" t="n"/>
      <c r="K1884" s="19" t="n"/>
      <c r="L1884" s="19" t="n"/>
      <c r="M1884" s="19" t="n"/>
      <c r="N1884" s="19" t="n"/>
      <c r="O1884" s="19" t="n"/>
      <c r="P1884" s="19" t="n"/>
    </row>
    <row r="1885">
      <c r="A1885" s="19" t="n"/>
      <c r="B1885" s="19" t="n"/>
      <c r="C1885" s="19" t="n"/>
      <c r="D1885" s="19" t="n"/>
      <c r="E1885" s="19" t="n"/>
      <c r="F1885" s="19" t="n"/>
      <c r="G1885" s="19" t="n"/>
      <c r="H1885" s="19" t="n"/>
      <c r="I1885" s="19" t="n"/>
      <c r="J1885" s="19" t="n"/>
      <c r="K1885" s="19" t="n"/>
      <c r="L1885" s="19" t="n"/>
      <c r="M1885" s="19" t="n"/>
      <c r="N1885" s="19" t="n"/>
      <c r="O1885" s="19" t="n"/>
      <c r="P1885" s="19" t="n"/>
    </row>
    <row r="1886">
      <c r="A1886" s="19" t="n"/>
      <c r="B1886" s="19" t="n"/>
      <c r="C1886" s="19" t="n"/>
      <c r="D1886" s="19" t="n"/>
      <c r="E1886" s="19" t="n"/>
      <c r="F1886" s="19" t="n"/>
      <c r="G1886" s="19" t="n"/>
      <c r="H1886" s="19" t="n"/>
      <c r="I1886" s="19" t="n"/>
      <c r="J1886" s="19" t="n"/>
      <c r="K1886" s="19" t="n"/>
      <c r="L1886" s="19" t="n"/>
      <c r="M1886" s="19" t="n"/>
      <c r="N1886" s="19" t="n"/>
      <c r="O1886" s="19" t="n"/>
      <c r="P1886" s="19" t="n"/>
    </row>
    <row r="1887">
      <c r="A1887" s="19" t="n"/>
      <c r="B1887" s="19" t="n"/>
      <c r="C1887" s="19" t="n"/>
      <c r="D1887" s="19" t="n"/>
      <c r="E1887" s="19" t="n"/>
      <c r="F1887" s="19" t="n"/>
      <c r="G1887" s="19" t="n"/>
      <c r="H1887" s="19" t="n"/>
      <c r="I1887" s="19" t="n"/>
      <c r="J1887" s="19" t="n"/>
      <c r="K1887" s="19" t="n"/>
      <c r="L1887" s="19" t="n"/>
      <c r="M1887" s="19" t="n"/>
      <c r="N1887" s="19" t="n"/>
      <c r="O1887" s="19" t="n"/>
      <c r="P1887" s="19" t="n"/>
    </row>
    <row r="1888">
      <c r="A1888" s="19" t="n"/>
      <c r="B1888" s="19" t="n"/>
      <c r="C1888" s="19" t="n"/>
      <c r="D1888" s="19" t="n"/>
      <c r="E1888" s="19" t="n"/>
      <c r="F1888" s="19" t="n"/>
      <c r="G1888" s="19" t="n"/>
      <c r="H1888" s="19" t="n"/>
      <c r="I1888" s="19" t="n"/>
      <c r="J1888" s="19" t="n"/>
      <c r="K1888" s="19" t="n"/>
      <c r="L1888" s="19" t="n"/>
      <c r="M1888" s="19" t="n"/>
      <c r="N1888" s="19" t="n"/>
      <c r="O1888" s="19" t="n"/>
      <c r="P1888" s="19" t="n"/>
    </row>
    <row r="1889">
      <c r="A1889" s="19" t="n"/>
      <c r="B1889" s="19" t="n"/>
      <c r="C1889" s="19" t="n"/>
      <c r="D1889" s="19" t="n"/>
      <c r="E1889" s="19" t="n"/>
      <c r="F1889" s="19" t="n"/>
      <c r="G1889" s="19" t="n"/>
      <c r="H1889" s="19" t="n"/>
      <c r="I1889" s="19" t="n"/>
      <c r="J1889" s="19" t="n"/>
      <c r="K1889" s="19" t="n"/>
      <c r="L1889" s="19" t="n"/>
      <c r="M1889" s="19" t="n"/>
      <c r="N1889" s="19" t="n"/>
      <c r="O1889" s="19" t="n"/>
      <c r="P1889" s="19" t="n"/>
    </row>
    <row r="1890">
      <c r="A1890" s="19" t="n"/>
      <c r="B1890" s="19" t="n"/>
      <c r="C1890" s="19" t="n"/>
      <c r="D1890" s="19" t="n"/>
      <c r="E1890" s="19" t="n"/>
      <c r="F1890" s="19" t="n"/>
      <c r="G1890" s="19" t="n"/>
      <c r="H1890" s="19" t="n"/>
      <c r="I1890" s="19" t="n"/>
      <c r="J1890" s="19" t="n"/>
      <c r="K1890" s="19" t="n"/>
      <c r="L1890" s="19" t="n"/>
      <c r="M1890" s="19" t="n"/>
      <c r="N1890" s="19" t="n"/>
      <c r="O1890" s="19" t="n"/>
      <c r="P1890" s="19" t="n"/>
    </row>
    <row r="1891">
      <c r="A1891" s="19" t="n"/>
      <c r="B1891" s="19" t="n"/>
      <c r="C1891" s="19" t="n"/>
      <c r="D1891" s="19" t="n"/>
      <c r="E1891" s="19" t="n"/>
      <c r="F1891" s="19" t="n"/>
      <c r="G1891" s="19" t="n"/>
      <c r="H1891" s="19" t="n"/>
      <c r="I1891" s="19" t="n"/>
      <c r="J1891" s="19" t="n"/>
      <c r="K1891" s="19" t="n"/>
      <c r="L1891" s="19" t="n"/>
      <c r="M1891" s="19" t="n"/>
      <c r="N1891" s="19" t="n"/>
      <c r="O1891" s="19" t="n"/>
      <c r="P1891" s="19" t="n"/>
    </row>
    <row r="1892">
      <c r="A1892" s="19" t="n"/>
      <c r="B1892" s="19" t="n"/>
      <c r="C1892" s="19" t="n"/>
      <c r="D1892" s="19" t="n"/>
      <c r="E1892" s="19" t="n"/>
      <c r="F1892" s="19" t="n"/>
      <c r="G1892" s="19" t="n"/>
      <c r="H1892" s="19" t="n"/>
      <c r="I1892" s="19" t="n"/>
      <c r="J1892" s="19" t="n"/>
      <c r="K1892" s="19" t="n"/>
      <c r="L1892" s="19" t="n"/>
      <c r="M1892" s="19" t="n"/>
      <c r="N1892" s="19" t="n"/>
      <c r="O1892" s="19" t="n"/>
      <c r="P1892" s="19" t="n"/>
    </row>
    <row r="1893">
      <c r="A1893" s="19" t="n"/>
      <c r="B1893" s="19" t="n"/>
      <c r="C1893" s="19" t="n"/>
      <c r="D1893" s="19" t="n"/>
      <c r="E1893" s="19" t="n"/>
      <c r="F1893" s="19" t="n"/>
      <c r="G1893" s="19" t="n"/>
      <c r="H1893" s="19" t="n"/>
      <c r="I1893" s="19" t="n"/>
      <c r="J1893" s="19" t="n"/>
      <c r="K1893" s="19" t="n"/>
      <c r="L1893" s="19" t="n"/>
      <c r="M1893" s="19" t="n"/>
      <c r="N1893" s="19" t="n"/>
      <c r="O1893" s="19" t="n"/>
      <c r="P1893" s="19" t="n"/>
    </row>
    <row r="1894">
      <c r="A1894" s="19" t="n"/>
      <c r="B1894" s="19" t="n"/>
      <c r="C1894" s="19" t="n"/>
      <c r="D1894" s="19" t="n"/>
      <c r="E1894" s="19" t="n"/>
      <c r="F1894" s="19" t="n"/>
      <c r="G1894" s="19" t="n"/>
      <c r="H1894" s="19" t="n"/>
      <c r="I1894" s="19" t="n"/>
      <c r="J1894" s="19" t="n"/>
      <c r="K1894" s="19" t="n"/>
      <c r="L1894" s="19" t="n"/>
      <c r="M1894" s="19" t="n"/>
      <c r="N1894" s="19" t="n"/>
      <c r="O1894" s="19" t="n"/>
      <c r="P1894" s="19" t="n"/>
    </row>
    <row r="1895">
      <c r="A1895" s="19" t="n"/>
      <c r="B1895" s="19" t="n"/>
      <c r="C1895" s="19" t="n"/>
      <c r="D1895" s="19" t="n"/>
      <c r="E1895" s="19" t="n"/>
      <c r="F1895" s="19" t="n"/>
      <c r="G1895" s="19" t="n"/>
      <c r="H1895" s="19" t="n"/>
      <c r="I1895" s="19" t="n"/>
      <c r="J1895" s="19" t="n"/>
      <c r="K1895" s="19" t="n"/>
      <c r="L1895" s="19" t="n"/>
      <c r="M1895" s="19" t="n"/>
      <c r="N1895" s="19" t="n"/>
      <c r="O1895" s="19" t="n"/>
      <c r="P1895" s="19" t="n"/>
    </row>
    <row r="1896">
      <c r="A1896" s="19" t="n"/>
      <c r="B1896" s="19" t="n"/>
      <c r="C1896" s="19" t="n"/>
      <c r="D1896" s="19" t="n"/>
      <c r="E1896" s="19" t="n"/>
      <c r="F1896" s="19" t="n"/>
      <c r="G1896" s="19" t="n"/>
      <c r="H1896" s="19" t="n"/>
      <c r="I1896" s="19" t="n"/>
      <c r="J1896" s="19" t="n"/>
      <c r="K1896" s="19" t="n"/>
      <c r="L1896" s="19" t="n"/>
      <c r="M1896" s="19" t="n"/>
      <c r="N1896" s="19" t="n"/>
      <c r="O1896" s="19" t="n"/>
      <c r="P1896" s="19" t="n"/>
    </row>
    <row r="1897">
      <c r="A1897" s="19" t="n"/>
      <c r="B1897" s="19" t="n"/>
      <c r="C1897" s="19" t="n"/>
      <c r="D1897" s="19" t="n"/>
      <c r="E1897" s="19" t="n"/>
      <c r="F1897" s="19" t="n"/>
      <c r="G1897" s="19" t="n"/>
      <c r="H1897" s="19" t="n"/>
      <c r="I1897" s="19" t="n"/>
      <c r="J1897" s="19" t="n"/>
      <c r="K1897" s="19" t="n"/>
      <c r="L1897" s="19" t="n"/>
      <c r="M1897" s="19" t="n"/>
      <c r="N1897" s="19" t="n"/>
      <c r="O1897" s="19" t="n"/>
      <c r="P1897" s="19" t="n"/>
    </row>
    <row r="1898">
      <c r="A1898" s="19" t="n"/>
      <c r="B1898" s="19" t="n"/>
      <c r="C1898" s="19" t="n"/>
      <c r="D1898" s="19" t="n"/>
      <c r="E1898" s="19" t="n"/>
      <c r="F1898" s="19" t="n"/>
      <c r="G1898" s="19" t="n"/>
      <c r="H1898" s="19" t="n"/>
      <c r="I1898" s="19" t="n"/>
      <c r="J1898" s="19" t="n"/>
      <c r="K1898" s="19" t="n"/>
      <c r="L1898" s="19" t="n"/>
      <c r="M1898" s="19" t="n"/>
      <c r="N1898" s="19" t="n"/>
      <c r="O1898" s="19" t="n"/>
      <c r="P1898" s="19" t="n"/>
    </row>
    <row r="1899">
      <c r="A1899" s="19" t="n"/>
      <c r="B1899" s="19" t="n"/>
      <c r="C1899" s="19" t="n"/>
      <c r="D1899" s="19" t="n"/>
      <c r="E1899" s="19" t="n"/>
      <c r="F1899" s="19" t="n"/>
      <c r="G1899" s="19" t="n"/>
      <c r="H1899" s="19" t="n"/>
      <c r="I1899" s="19" t="n"/>
      <c r="J1899" s="19" t="n"/>
      <c r="K1899" s="19" t="n"/>
      <c r="L1899" s="19" t="n"/>
      <c r="M1899" s="19" t="n"/>
      <c r="N1899" s="19" t="n"/>
      <c r="O1899" s="19" t="n"/>
      <c r="P1899" s="19" t="n"/>
    </row>
    <row r="1900">
      <c r="A1900" s="19" t="n"/>
      <c r="B1900" s="19" t="n"/>
      <c r="C1900" s="19" t="n"/>
      <c r="D1900" s="19" t="n"/>
      <c r="E1900" s="19" t="n"/>
      <c r="F1900" s="19" t="n"/>
      <c r="G1900" s="19" t="n"/>
      <c r="H1900" s="19" t="n"/>
      <c r="I1900" s="19" t="n"/>
      <c r="J1900" s="19" t="n"/>
      <c r="K1900" s="19" t="n"/>
      <c r="L1900" s="19" t="n"/>
      <c r="M1900" s="19" t="n"/>
      <c r="N1900" s="19" t="n"/>
      <c r="O1900" s="19" t="n"/>
      <c r="P1900" s="19" t="n"/>
    </row>
    <row r="1901">
      <c r="A1901" s="19" t="n"/>
      <c r="B1901" s="19" t="n"/>
      <c r="C1901" s="19" t="n"/>
      <c r="D1901" s="19" t="n"/>
      <c r="E1901" s="19" t="n"/>
      <c r="F1901" s="19" t="n"/>
      <c r="G1901" s="19" t="n"/>
      <c r="H1901" s="19" t="n"/>
      <c r="I1901" s="19" t="n"/>
      <c r="J1901" s="19" t="n"/>
      <c r="K1901" s="19" t="n"/>
      <c r="L1901" s="19" t="n"/>
      <c r="M1901" s="19" t="n"/>
      <c r="N1901" s="19" t="n"/>
      <c r="O1901" s="19" t="n"/>
      <c r="P1901" s="19" t="n"/>
    </row>
    <row r="1902">
      <c r="A1902" s="19" t="n"/>
      <c r="B1902" s="19" t="n"/>
      <c r="C1902" s="19" t="n"/>
      <c r="D1902" s="19" t="n"/>
      <c r="E1902" s="19" t="n"/>
      <c r="F1902" s="19" t="n"/>
      <c r="G1902" s="19" t="n"/>
      <c r="H1902" s="19" t="n"/>
      <c r="I1902" s="19" t="n"/>
      <c r="J1902" s="19" t="n"/>
      <c r="K1902" s="19" t="n"/>
      <c r="L1902" s="19" t="n"/>
      <c r="M1902" s="19" t="n"/>
      <c r="N1902" s="19" t="n"/>
      <c r="O1902" s="19" t="n"/>
      <c r="P1902" s="19" t="n"/>
    </row>
    <row r="1903">
      <c r="A1903" s="19" t="n"/>
      <c r="B1903" s="19" t="n"/>
      <c r="C1903" s="19" t="n"/>
      <c r="D1903" s="19" t="n"/>
      <c r="E1903" s="19" t="n"/>
      <c r="F1903" s="19" t="n"/>
      <c r="G1903" s="19" t="n"/>
      <c r="H1903" s="19" t="n"/>
      <c r="I1903" s="19" t="n"/>
      <c r="J1903" s="19" t="n"/>
      <c r="K1903" s="19" t="n"/>
      <c r="L1903" s="19" t="n"/>
      <c r="M1903" s="19" t="n"/>
      <c r="N1903" s="19" t="n"/>
      <c r="O1903" s="19" t="n"/>
      <c r="P1903" s="19" t="n"/>
    </row>
    <row r="1904">
      <c r="A1904" s="19" t="n"/>
      <c r="B1904" s="19" t="n"/>
      <c r="C1904" s="19" t="n"/>
      <c r="D1904" s="19" t="n"/>
      <c r="E1904" s="19" t="n"/>
      <c r="F1904" s="19" t="n"/>
      <c r="G1904" s="19" t="n"/>
      <c r="H1904" s="19" t="n"/>
      <c r="I1904" s="19" t="n"/>
      <c r="J1904" s="19" t="n"/>
      <c r="K1904" s="19" t="n"/>
      <c r="L1904" s="19" t="n"/>
      <c r="M1904" s="19" t="n"/>
      <c r="N1904" s="19" t="n"/>
      <c r="O1904" s="19" t="n"/>
      <c r="P1904" s="19" t="n"/>
    </row>
    <row r="1905">
      <c r="A1905" s="19" t="n"/>
      <c r="B1905" s="19" t="n"/>
      <c r="C1905" s="19" t="n"/>
      <c r="D1905" s="19" t="n"/>
      <c r="E1905" s="19" t="n"/>
      <c r="F1905" s="19" t="n"/>
      <c r="G1905" s="19" t="n"/>
      <c r="H1905" s="19" t="n"/>
      <c r="I1905" s="19" t="n"/>
      <c r="J1905" s="19" t="n"/>
      <c r="K1905" s="19" t="n"/>
      <c r="L1905" s="19" t="n"/>
      <c r="M1905" s="19" t="n"/>
      <c r="N1905" s="19" t="n"/>
      <c r="O1905" s="19" t="n"/>
      <c r="P1905" s="19" t="n"/>
    </row>
    <row r="1906">
      <c r="A1906" s="19" t="n"/>
      <c r="B1906" s="19" t="n"/>
      <c r="C1906" s="19" t="n"/>
      <c r="D1906" s="19" t="n"/>
      <c r="E1906" s="19" t="n"/>
      <c r="F1906" s="19" t="n"/>
      <c r="G1906" s="19" t="n"/>
      <c r="H1906" s="19" t="n"/>
      <c r="I1906" s="19" t="n"/>
      <c r="J1906" s="19" t="n"/>
      <c r="K1906" s="19" t="n"/>
      <c r="L1906" s="19" t="n"/>
      <c r="M1906" s="19" t="n"/>
      <c r="N1906" s="19" t="n"/>
      <c r="O1906" s="19" t="n"/>
      <c r="P1906" s="19" t="n"/>
    </row>
    <row r="1907">
      <c r="A1907" s="19" t="n"/>
      <c r="B1907" s="19" t="n"/>
      <c r="C1907" s="19" t="n"/>
      <c r="D1907" s="19" t="n"/>
      <c r="E1907" s="19" t="n"/>
      <c r="F1907" s="19" t="n"/>
      <c r="G1907" s="19" t="n"/>
      <c r="H1907" s="19" t="n"/>
      <c r="I1907" s="19" t="n"/>
      <c r="J1907" s="19" t="n"/>
      <c r="K1907" s="19" t="n"/>
      <c r="L1907" s="19" t="n"/>
      <c r="M1907" s="19" t="n"/>
      <c r="N1907" s="19" t="n"/>
      <c r="O1907" s="19" t="n"/>
      <c r="P1907" s="19" t="n"/>
    </row>
    <row r="1908">
      <c r="A1908" s="19" t="n"/>
      <c r="B1908" s="19" t="n"/>
      <c r="C1908" s="19" t="n"/>
      <c r="D1908" s="19" t="n"/>
      <c r="E1908" s="19" t="n"/>
      <c r="F1908" s="19" t="n"/>
      <c r="G1908" s="19" t="n"/>
      <c r="H1908" s="19" t="n"/>
      <c r="I1908" s="19" t="n"/>
      <c r="J1908" s="19" t="n"/>
      <c r="K1908" s="19" t="n"/>
      <c r="L1908" s="19" t="n"/>
      <c r="M1908" s="19" t="n"/>
      <c r="N1908" s="19" t="n"/>
      <c r="O1908" s="19" t="n"/>
      <c r="P1908" s="19" t="n"/>
    </row>
    <row r="1909">
      <c r="A1909" s="19" t="n"/>
      <c r="B1909" s="19" t="n"/>
      <c r="C1909" s="19" t="n"/>
      <c r="D1909" s="19" t="n"/>
      <c r="E1909" s="19" t="n"/>
      <c r="F1909" s="19" t="n"/>
      <c r="G1909" s="19" t="n"/>
      <c r="H1909" s="19" t="n"/>
      <c r="I1909" s="19" t="n"/>
      <c r="J1909" s="19" t="n"/>
      <c r="K1909" s="19" t="n"/>
      <c r="L1909" s="19" t="n"/>
      <c r="M1909" s="19" t="n"/>
      <c r="N1909" s="19" t="n"/>
      <c r="O1909" s="19" t="n"/>
      <c r="P1909" s="19" t="n"/>
    </row>
    <row r="1910">
      <c r="A1910" s="19" t="n"/>
      <c r="B1910" s="19" t="n"/>
      <c r="C1910" s="19" t="n"/>
      <c r="D1910" s="19" t="n"/>
      <c r="E1910" s="19" t="n"/>
      <c r="F1910" s="19" t="n"/>
      <c r="G1910" s="19" t="n"/>
      <c r="H1910" s="19" t="n"/>
      <c r="I1910" s="19" t="n"/>
      <c r="J1910" s="19" t="n"/>
      <c r="K1910" s="19" t="n"/>
      <c r="L1910" s="19" t="n"/>
      <c r="M1910" s="19" t="n"/>
      <c r="N1910" s="19" t="n"/>
      <c r="O1910" s="19" t="n"/>
      <c r="P1910" s="19" t="n"/>
    </row>
    <row r="1911">
      <c r="A1911" s="19" t="n"/>
      <c r="B1911" s="19" t="n"/>
      <c r="C1911" s="19" t="n"/>
      <c r="D1911" s="19" t="n"/>
      <c r="E1911" s="19" t="n"/>
      <c r="F1911" s="19" t="n"/>
      <c r="G1911" s="19" t="n"/>
      <c r="H1911" s="19" t="n"/>
      <c r="I1911" s="19" t="n"/>
      <c r="J1911" s="19" t="n"/>
      <c r="K1911" s="19" t="n"/>
      <c r="L1911" s="19" t="n"/>
      <c r="M1911" s="19" t="n"/>
      <c r="N1911" s="19" t="n"/>
      <c r="O1911" s="19" t="n"/>
      <c r="P1911" s="19" t="n"/>
    </row>
    <row r="1912">
      <c r="A1912" s="19" t="n"/>
      <c r="B1912" s="19" t="n"/>
      <c r="C1912" s="19" t="n"/>
      <c r="D1912" s="19" t="n"/>
      <c r="E1912" s="19" t="n"/>
      <c r="F1912" s="19" t="n"/>
      <c r="G1912" s="19" t="n"/>
      <c r="H1912" s="19" t="n"/>
      <c r="I1912" s="19" t="n"/>
      <c r="J1912" s="19" t="n"/>
      <c r="K1912" s="19" t="n"/>
      <c r="L1912" s="19" t="n"/>
      <c r="M1912" s="19" t="n"/>
      <c r="N1912" s="19" t="n"/>
      <c r="O1912" s="19" t="n"/>
      <c r="P1912" s="19" t="n"/>
    </row>
    <row r="1913">
      <c r="A1913" s="19" t="n"/>
      <c r="B1913" s="19" t="n"/>
      <c r="C1913" s="19" t="n"/>
      <c r="D1913" s="19" t="n"/>
      <c r="E1913" s="19" t="n"/>
      <c r="F1913" s="19" t="n"/>
      <c r="G1913" s="19" t="n"/>
      <c r="H1913" s="19" t="n"/>
      <c r="I1913" s="19" t="n"/>
      <c r="J1913" s="19" t="n"/>
      <c r="K1913" s="19" t="n"/>
      <c r="L1913" s="19" t="n"/>
      <c r="M1913" s="19" t="n"/>
      <c r="N1913" s="19" t="n"/>
      <c r="O1913" s="19" t="n"/>
      <c r="P1913" s="19" t="n"/>
    </row>
    <row r="1914">
      <c r="A1914" s="19" t="n"/>
      <c r="B1914" s="19" t="n"/>
      <c r="C1914" s="19" t="n"/>
      <c r="D1914" s="19" t="n"/>
      <c r="E1914" s="19" t="n"/>
      <c r="F1914" s="19" t="n"/>
      <c r="G1914" s="19" t="n"/>
      <c r="H1914" s="19" t="n"/>
      <c r="I1914" s="19" t="n"/>
      <c r="J1914" s="19" t="n"/>
      <c r="K1914" s="19" t="n"/>
      <c r="L1914" s="19" t="n"/>
      <c r="M1914" s="19" t="n"/>
      <c r="N1914" s="19" t="n"/>
      <c r="O1914" s="19" t="n"/>
      <c r="P1914" s="19" t="n"/>
    </row>
    <row r="1915">
      <c r="A1915" s="19" t="n"/>
      <c r="B1915" s="19" t="n"/>
      <c r="C1915" s="19" t="n"/>
      <c r="D1915" s="19" t="n"/>
      <c r="E1915" s="19" t="n"/>
      <c r="F1915" s="19" t="n"/>
      <c r="G1915" s="19" t="n"/>
      <c r="H1915" s="19" t="n"/>
      <c r="I1915" s="19" t="n"/>
      <c r="J1915" s="19" t="n"/>
      <c r="K1915" s="19" t="n"/>
      <c r="L1915" s="19" t="n"/>
      <c r="M1915" s="19" t="n"/>
      <c r="N1915" s="19" t="n"/>
      <c r="O1915" s="19" t="n"/>
      <c r="P1915" s="19" t="n"/>
    </row>
    <row r="1916">
      <c r="A1916" s="19" t="n"/>
      <c r="B1916" s="19" t="n"/>
      <c r="C1916" s="19" t="n"/>
      <c r="D1916" s="19" t="n"/>
      <c r="E1916" s="19" t="n"/>
      <c r="F1916" s="19" t="n"/>
      <c r="G1916" s="19" t="n"/>
      <c r="H1916" s="19" t="n"/>
      <c r="I1916" s="19" t="n"/>
      <c r="J1916" s="19" t="n"/>
      <c r="K1916" s="19" t="n"/>
      <c r="L1916" s="19" t="n"/>
      <c r="M1916" s="19" t="n"/>
      <c r="N1916" s="19" t="n"/>
      <c r="O1916" s="19" t="n"/>
      <c r="P1916" s="19" t="n"/>
    </row>
    <row r="1917">
      <c r="A1917" s="19" t="n"/>
      <c r="B1917" s="19" t="n"/>
      <c r="C1917" s="19" t="n"/>
      <c r="D1917" s="19" t="n"/>
      <c r="E1917" s="19" t="n"/>
      <c r="F1917" s="19" t="n"/>
      <c r="G1917" s="19" t="n"/>
      <c r="H1917" s="19" t="n"/>
      <c r="I1917" s="19" t="n"/>
      <c r="J1917" s="19" t="n"/>
      <c r="K1917" s="19" t="n"/>
      <c r="L1917" s="19" t="n"/>
      <c r="M1917" s="19" t="n"/>
      <c r="N1917" s="19" t="n"/>
      <c r="O1917" s="19" t="n"/>
      <c r="P1917" s="19" t="n"/>
    </row>
    <row r="1918">
      <c r="A1918" s="19" t="n"/>
      <c r="B1918" s="19" t="n"/>
      <c r="C1918" s="19" t="n"/>
      <c r="D1918" s="19" t="n"/>
      <c r="E1918" s="19" t="n"/>
      <c r="F1918" s="19" t="n"/>
      <c r="G1918" s="19" t="n"/>
      <c r="H1918" s="19" t="n"/>
      <c r="I1918" s="19" t="n"/>
      <c r="J1918" s="19" t="n"/>
      <c r="K1918" s="19" t="n"/>
      <c r="L1918" s="19" t="n"/>
      <c r="M1918" s="19" t="n"/>
      <c r="N1918" s="19" t="n"/>
      <c r="O1918" s="19" t="n"/>
      <c r="P1918" s="19" t="n"/>
    </row>
    <row r="1919">
      <c r="A1919" s="19" t="n"/>
      <c r="B1919" s="19" t="n"/>
      <c r="C1919" s="19" t="n"/>
      <c r="D1919" s="19" t="n"/>
      <c r="E1919" s="19" t="n"/>
      <c r="F1919" s="19" t="n"/>
      <c r="G1919" s="19" t="n"/>
      <c r="H1919" s="19" t="n"/>
      <c r="I1919" s="19" t="n"/>
      <c r="J1919" s="19" t="n"/>
      <c r="K1919" s="19" t="n"/>
      <c r="L1919" s="19" t="n"/>
      <c r="M1919" s="19" t="n"/>
      <c r="N1919" s="19" t="n"/>
      <c r="O1919" s="19" t="n"/>
      <c r="P1919" s="19" t="n"/>
    </row>
    <row r="1920">
      <c r="A1920" s="19" t="n"/>
      <c r="B1920" s="19" t="n"/>
      <c r="C1920" s="19" t="n"/>
      <c r="D1920" s="19" t="n"/>
      <c r="E1920" s="19" t="n"/>
      <c r="F1920" s="19" t="n"/>
      <c r="G1920" s="19" t="n"/>
      <c r="H1920" s="19" t="n"/>
      <c r="I1920" s="19" t="n"/>
      <c r="J1920" s="19" t="n"/>
      <c r="K1920" s="19" t="n"/>
      <c r="L1920" s="19" t="n"/>
      <c r="M1920" s="19" t="n"/>
      <c r="N1920" s="19" t="n"/>
      <c r="O1920" s="19" t="n"/>
      <c r="P1920" s="19" t="n"/>
    </row>
    <row r="1921">
      <c r="A1921" s="19" t="n"/>
      <c r="B1921" s="19" t="n"/>
      <c r="C1921" s="19" t="n"/>
      <c r="D1921" s="19" t="n"/>
      <c r="E1921" s="19" t="n"/>
      <c r="F1921" s="19" t="n"/>
      <c r="G1921" s="19" t="n"/>
      <c r="H1921" s="19" t="n"/>
      <c r="I1921" s="19" t="n"/>
      <c r="J1921" s="19" t="n"/>
      <c r="K1921" s="19" t="n"/>
      <c r="L1921" s="19" t="n"/>
      <c r="M1921" s="19" t="n"/>
      <c r="N1921" s="19" t="n"/>
      <c r="O1921" s="19" t="n"/>
      <c r="P1921" s="19" t="n"/>
    </row>
    <row r="1922">
      <c r="A1922" s="19" t="n"/>
      <c r="B1922" s="19" t="n"/>
      <c r="C1922" s="19" t="n"/>
      <c r="D1922" s="19" t="n"/>
      <c r="E1922" s="19" t="n"/>
      <c r="F1922" s="19" t="n"/>
      <c r="G1922" s="19" t="n"/>
      <c r="H1922" s="19" t="n"/>
      <c r="I1922" s="19" t="n"/>
      <c r="J1922" s="19" t="n"/>
      <c r="K1922" s="19" t="n"/>
      <c r="L1922" s="19" t="n"/>
      <c r="M1922" s="19" t="n"/>
      <c r="N1922" s="19" t="n"/>
      <c r="O1922" s="19" t="n"/>
      <c r="P1922" s="19" t="n"/>
    </row>
    <row r="1923">
      <c r="A1923" s="19" t="n"/>
      <c r="B1923" s="19" t="n"/>
      <c r="C1923" s="19" t="n"/>
      <c r="D1923" s="19" t="n"/>
      <c r="E1923" s="19" t="n"/>
      <c r="F1923" s="19" t="n"/>
      <c r="G1923" s="19" t="n"/>
      <c r="H1923" s="19" t="n"/>
      <c r="I1923" s="19" t="n"/>
      <c r="J1923" s="19" t="n"/>
      <c r="K1923" s="19" t="n"/>
      <c r="L1923" s="19" t="n"/>
      <c r="M1923" s="19" t="n"/>
      <c r="N1923" s="19" t="n"/>
      <c r="O1923" s="19" t="n"/>
      <c r="P1923" s="19" t="n"/>
    </row>
    <row r="1924">
      <c r="A1924" s="19" t="n"/>
      <c r="B1924" s="19" t="n"/>
      <c r="C1924" s="19" t="n"/>
      <c r="D1924" s="19" t="n"/>
      <c r="E1924" s="19" t="n"/>
      <c r="F1924" s="19" t="n"/>
      <c r="G1924" s="19" t="n"/>
      <c r="H1924" s="19" t="n"/>
      <c r="I1924" s="19" t="n"/>
      <c r="J1924" s="19" t="n"/>
      <c r="K1924" s="19" t="n"/>
      <c r="L1924" s="19" t="n"/>
      <c r="M1924" s="19" t="n"/>
      <c r="N1924" s="19" t="n"/>
      <c r="O1924" s="19" t="n"/>
      <c r="P1924" s="19" t="n"/>
    </row>
    <row r="1925">
      <c r="A1925" s="19" t="n"/>
      <c r="B1925" s="19" t="n"/>
      <c r="C1925" s="19" t="n"/>
      <c r="D1925" s="19" t="n"/>
      <c r="E1925" s="19" t="n"/>
      <c r="F1925" s="19" t="n"/>
      <c r="G1925" s="19" t="n"/>
      <c r="H1925" s="19" t="n"/>
      <c r="I1925" s="19" t="n"/>
      <c r="J1925" s="19" t="n"/>
      <c r="K1925" s="19" t="n"/>
      <c r="L1925" s="19" t="n"/>
      <c r="M1925" s="19" t="n"/>
      <c r="N1925" s="19" t="n"/>
      <c r="O1925" s="19" t="n"/>
      <c r="P1925" s="19" t="n"/>
    </row>
    <row r="1926">
      <c r="A1926" s="19" t="n"/>
      <c r="B1926" s="19" t="n"/>
      <c r="C1926" s="19" t="n"/>
      <c r="D1926" s="19" t="n"/>
      <c r="E1926" s="19" t="n"/>
      <c r="F1926" s="19" t="n"/>
      <c r="G1926" s="19" t="n"/>
      <c r="H1926" s="19" t="n"/>
      <c r="I1926" s="19" t="n"/>
      <c r="J1926" s="19" t="n"/>
      <c r="K1926" s="19" t="n"/>
      <c r="L1926" s="19" t="n"/>
      <c r="M1926" s="19" t="n"/>
      <c r="N1926" s="19" t="n"/>
      <c r="O1926" s="19" t="n"/>
      <c r="P1926" s="19" t="n"/>
    </row>
    <row r="1927">
      <c r="A1927" s="19" t="n"/>
      <c r="B1927" s="19" t="n"/>
      <c r="C1927" s="19" t="n"/>
      <c r="D1927" s="19" t="n"/>
      <c r="E1927" s="19" t="n"/>
      <c r="F1927" s="19" t="n"/>
      <c r="G1927" s="19" t="n"/>
      <c r="H1927" s="19" t="n"/>
      <c r="I1927" s="19" t="n"/>
      <c r="J1927" s="19" t="n"/>
      <c r="K1927" s="19" t="n"/>
      <c r="L1927" s="19" t="n"/>
      <c r="M1927" s="19" t="n"/>
      <c r="N1927" s="19" t="n"/>
      <c r="O1927" s="19" t="n"/>
      <c r="P1927" s="19" t="n"/>
    </row>
    <row r="1928">
      <c r="A1928" s="19" t="n"/>
      <c r="B1928" s="19" t="n"/>
      <c r="C1928" s="19" t="n"/>
      <c r="D1928" s="19" t="n"/>
      <c r="E1928" s="19" t="n"/>
      <c r="F1928" s="19" t="n"/>
      <c r="G1928" s="19" t="n"/>
      <c r="H1928" s="19" t="n"/>
      <c r="I1928" s="19" t="n"/>
      <c r="J1928" s="19" t="n"/>
      <c r="K1928" s="19" t="n"/>
      <c r="L1928" s="19" t="n"/>
      <c r="M1928" s="19" t="n"/>
      <c r="N1928" s="19" t="n"/>
      <c r="O1928" s="19" t="n"/>
      <c r="P1928" s="19" t="n"/>
    </row>
    <row r="1929">
      <c r="A1929" s="19" t="n"/>
      <c r="B1929" s="19" t="n"/>
      <c r="C1929" s="19" t="n"/>
      <c r="D1929" s="19" t="n"/>
      <c r="E1929" s="19" t="n"/>
      <c r="F1929" s="19" t="n"/>
      <c r="G1929" s="19" t="n"/>
      <c r="H1929" s="19" t="n"/>
      <c r="I1929" s="19" t="n"/>
      <c r="J1929" s="19" t="n"/>
      <c r="K1929" s="19" t="n"/>
      <c r="L1929" s="19" t="n"/>
      <c r="M1929" s="19" t="n"/>
      <c r="N1929" s="19" t="n"/>
      <c r="O1929" s="19" t="n"/>
      <c r="P1929" s="19" t="n"/>
    </row>
    <row r="1930">
      <c r="A1930" s="19" t="n"/>
      <c r="B1930" s="19" t="n"/>
      <c r="C1930" s="19" t="n"/>
      <c r="D1930" s="19" t="n"/>
      <c r="E1930" s="19" t="n"/>
      <c r="F1930" s="19" t="n"/>
      <c r="G1930" s="19" t="n"/>
      <c r="H1930" s="19" t="n"/>
      <c r="I1930" s="19" t="n"/>
      <c r="J1930" s="19" t="n"/>
      <c r="K1930" s="19" t="n"/>
      <c r="L1930" s="19" t="n"/>
      <c r="M1930" s="19" t="n"/>
      <c r="N1930" s="19" t="n"/>
      <c r="O1930" s="19" t="n"/>
      <c r="P1930" s="19" t="n"/>
    </row>
    <row r="1931">
      <c r="A1931" s="19" t="n"/>
      <c r="B1931" s="19" t="n"/>
      <c r="C1931" s="19" t="n"/>
      <c r="D1931" s="19" t="n"/>
      <c r="E1931" s="19" t="n"/>
      <c r="F1931" s="19" t="n"/>
      <c r="G1931" s="19" t="n"/>
      <c r="H1931" s="19" t="n"/>
      <c r="I1931" s="19" t="n"/>
      <c r="J1931" s="19" t="n"/>
      <c r="K1931" s="19" t="n"/>
      <c r="L1931" s="19" t="n"/>
      <c r="M1931" s="19" t="n"/>
      <c r="N1931" s="19" t="n"/>
      <c r="O1931" s="19" t="n"/>
      <c r="P1931" s="19" t="n"/>
    </row>
    <row r="1932">
      <c r="A1932" s="19" t="n"/>
      <c r="B1932" s="19" t="n"/>
      <c r="C1932" s="19" t="n"/>
      <c r="D1932" s="19" t="n"/>
      <c r="E1932" s="19" t="n"/>
      <c r="F1932" s="19" t="n"/>
      <c r="G1932" s="19" t="n"/>
      <c r="H1932" s="19" t="n"/>
      <c r="I1932" s="19" t="n"/>
      <c r="J1932" s="19" t="n"/>
      <c r="K1932" s="19" t="n"/>
      <c r="L1932" s="19" t="n"/>
      <c r="M1932" s="19" t="n"/>
      <c r="N1932" s="19" t="n"/>
      <c r="O1932" s="19" t="n"/>
      <c r="P1932" s="19" t="n"/>
    </row>
    <row r="1933">
      <c r="A1933" s="19" t="n"/>
      <c r="B1933" s="19" t="n"/>
      <c r="C1933" s="19" t="n"/>
      <c r="D1933" s="19" t="n"/>
      <c r="E1933" s="19" t="n"/>
      <c r="F1933" s="19" t="n"/>
      <c r="G1933" s="19" t="n"/>
      <c r="H1933" s="19" t="n"/>
      <c r="I1933" s="19" t="n"/>
      <c r="J1933" s="19" t="n"/>
      <c r="K1933" s="19" t="n"/>
      <c r="L1933" s="19" t="n"/>
      <c r="M1933" s="19" t="n"/>
      <c r="N1933" s="19" t="n"/>
      <c r="O1933" s="19" t="n"/>
      <c r="P1933" s="19" t="n"/>
    </row>
    <row r="1934">
      <c r="A1934" s="19" t="n"/>
      <c r="B1934" s="19" t="n"/>
      <c r="C1934" s="19" t="n"/>
      <c r="D1934" s="19" t="n"/>
      <c r="E1934" s="19" t="n"/>
      <c r="F1934" s="19" t="n"/>
      <c r="G1934" s="19" t="n"/>
      <c r="H1934" s="19" t="n"/>
      <c r="I1934" s="19" t="n"/>
      <c r="J1934" s="19" t="n"/>
      <c r="K1934" s="19" t="n"/>
      <c r="L1934" s="19" t="n"/>
      <c r="M1934" s="19" t="n"/>
      <c r="N1934" s="19" t="n"/>
      <c r="O1934" s="19" t="n"/>
      <c r="P1934" s="19" t="n"/>
    </row>
    <row r="1935">
      <c r="A1935" s="19" t="n"/>
      <c r="B1935" s="19" t="n"/>
      <c r="C1935" s="19" t="n"/>
      <c r="D1935" s="19" t="n"/>
      <c r="E1935" s="19" t="n"/>
      <c r="F1935" s="19" t="n"/>
      <c r="G1935" s="19" t="n"/>
      <c r="H1935" s="19" t="n"/>
      <c r="I1935" s="19" t="n"/>
      <c r="J1935" s="19" t="n"/>
      <c r="K1935" s="19" t="n"/>
      <c r="L1935" s="19" t="n"/>
      <c r="M1935" s="19" t="n"/>
      <c r="N1935" s="19" t="n"/>
      <c r="O1935" s="19" t="n"/>
      <c r="P1935" s="19" t="n"/>
    </row>
    <row r="1936">
      <c r="A1936" s="19" t="n"/>
      <c r="B1936" s="19" t="n"/>
      <c r="C1936" s="19" t="n"/>
      <c r="D1936" s="19" t="n"/>
      <c r="E1936" s="19" t="n"/>
      <c r="F1936" s="19" t="n"/>
      <c r="G1936" s="19" t="n"/>
      <c r="H1936" s="19" t="n"/>
      <c r="I1936" s="19" t="n"/>
      <c r="J1936" s="19" t="n"/>
      <c r="K1936" s="19" t="n"/>
      <c r="L1936" s="19" t="n"/>
      <c r="M1936" s="19" t="n"/>
      <c r="N1936" s="19" t="n"/>
      <c r="O1936" s="19" t="n"/>
      <c r="P1936" s="19" t="n"/>
    </row>
    <row r="1937">
      <c r="A1937" s="19" t="n"/>
      <c r="B1937" s="19" t="n"/>
      <c r="C1937" s="19" t="n"/>
      <c r="D1937" s="19" t="n"/>
      <c r="E1937" s="19" t="n"/>
      <c r="F1937" s="19" t="n"/>
      <c r="G1937" s="19" t="n"/>
      <c r="H1937" s="19" t="n"/>
      <c r="I1937" s="19" t="n"/>
      <c r="J1937" s="19" t="n"/>
      <c r="K1937" s="19" t="n"/>
      <c r="L1937" s="19" t="n"/>
      <c r="M1937" s="19" t="n"/>
      <c r="N1937" s="19" t="n"/>
      <c r="O1937" s="19" t="n"/>
      <c r="P1937" s="19" t="n"/>
    </row>
    <row r="1938">
      <c r="A1938" s="19" t="n"/>
      <c r="B1938" s="19" t="n"/>
      <c r="C1938" s="19" t="n"/>
      <c r="D1938" s="19" t="n"/>
      <c r="E1938" s="19" t="n"/>
      <c r="F1938" s="19" t="n"/>
      <c r="G1938" s="19" t="n"/>
      <c r="H1938" s="19" t="n"/>
      <c r="I1938" s="19" t="n"/>
      <c r="J1938" s="19" t="n"/>
      <c r="K1938" s="19" t="n"/>
      <c r="L1938" s="19" t="n"/>
      <c r="M1938" s="19" t="n"/>
      <c r="N1938" s="19" t="n"/>
      <c r="O1938" s="19" t="n"/>
      <c r="P1938" s="19" t="n"/>
    </row>
    <row r="1939">
      <c r="A1939" s="19" t="n"/>
      <c r="B1939" s="19" t="n"/>
      <c r="C1939" s="19" t="n"/>
      <c r="D1939" s="19" t="n"/>
      <c r="E1939" s="19" t="n"/>
      <c r="F1939" s="19" t="n"/>
      <c r="G1939" s="19" t="n"/>
      <c r="H1939" s="19" t="n"/>
      <c r="I1939" s="19" t="n"/>
      <c r="J1939" s="19" t="n"/>
      <c r="K1939" s="19" t="n"/>
      <c r="L1939" s="19" t="n"/>
      <c r="M1939" s="19" t="n"/>
      <c r="N1939" s="19" t="n"/>
      <c r="O1939" s="19" t="n"/>
      <c r="P1939" s="19" t="n"/>
    </row>
    <row r="1940">
      <c r="A1940" s="19" t="n"/>
      <c r="B1940" s="19" t="n"/>
      <c r="C1940" s="19" t="n"/>
      <c r="D1940" s="19" t="n"/>
      <c r="E1940" s="19" t="n"/>
      <c r="F1940" s="19" t="n"/>
      <c r="G1940" s="19" t="n"/>
      <c r="H1940" s="19" t="n"/>
      <c r="I1940" s="19" t="n"/>
      <c r="J1940" s="19" t="n"/>
      <c r="K1940" s="19" t="n"/>
      <c r="L1940" s="19" t="n"/>
      <c r="M1940" s="19" t="n"/>
      <c r="N1940" s="19" t="n"/>
      <c r="O1940" s="19" t="n"/>
      <c r="P1940" s="19" t="n"/>
    </row>
    <row r="1941">
      <c r="A1941" s="19" t="n"/>
      <c r="B1941" s="19" t="n"/>
      <c r="C1941" s="19" t="n"/>
      <c r="D1941" s="19" t="n"/>
      <c r="E1941" s="19" t="n"/>
      <c r="F1941" s="19" t="n"/>
      <c r="G1941" s="19" t="n"/>
      <c r="H1941" s="19" t="n"/>
      <c r="I1941" s="19" t="n"/>
      <c r="J1941" s="19" t="n"/>
      <c r="K1941" s="19" t="n"/>
      <c r="L1941" s="19" t="n"/>
      <c r="M1941" s="19" t="n"/>
      <c r="N1941" s="19" t="n"/>
      <c r="O1941" s="19" t="n"/>
      <c r="P1941" s="19" t="n"/>
    </row>
    <row r="1942">
      <c r="A1942" s="19" t="n"/>
      <c r="B1942" s="19" t="n"/>
      <c r="C1942" s="19" t="n"/>
      <c r="D1942" s="19" t="n"/>
      <c r="E1942" s="19" t="n"/>
      <c r="F1942" s="19" t="n"/>
      <c r="G1942" s="19" t="n"/>
      <c r="H1942" s="19" t="n"/>
      <c r="I1942" s="19" t="n"/>
      <c r="J1942" s="19" t="n"/>
      <c r="K1942" s="19" t="n"/>
      <c r="L1942" s="19" t="n"/>
      <c r="M1942" s="19" t="n"/>
      <c r="N1942" s="19" t="n"/>
      <c r="O1942" s="19" t="n"/>
      <c r="P1942" s="19" t="n"/>
    </row>
    <row r="1943">
      <c r="A1943" s="19" t="n"/>
      <c r="B1943" s="19" t="n"/>
      <c r="C1943" s="19" t="n"/>
      <c r="D1943" s="19" t="n"/>
      <c r="E1943" s="19" t="n"/>
      <c r="F1943" s="19" t="n"/>
      <c r="G1943" s="19" t="n"/>
      <c r="H1943" s="19" t="n"/>
      <c r="I1943" s="19" t="n"/>
      <c r="J1943" s="19" t="n"/>
      <c r="K1943" s="19" t="n"/>
      <c r="L1943" s="19" t="n"/>
      <c r="M1943" s="19" t="n"/>
      <c r="N1943" s="19" t="n"/>
      <c r="O1943" s="19" t="n"/>
      <c r="P1943" s="19" t="n"/>
    </row>
    <row r="1944">
      <c r="A1944" s="19" t="n"/>
      <c r="B1944" s="19" t="n"/>
      <c r="C1944" s="19" t="n"/>
      <c r="D1944" s="19" t="n"/>
      <c r="E1944" s="19" t="n"/>
      <c r="F1944" s="19" t="n"/>
      <c r="G1944" s="19" t="n"/>
      <c r="H1944" s="19" t="n"/>
      <c r="I1944" s="19" t="n"/>
      <c r="J1944" s="19" t="n"/>
      <c r="K1944" s="19" t="n"/>
      <c r="L1944" s="19" t="n"/>
      <c r="M1944" s="19" t="n"/>
      <c r="N1944" s="19" t="n"/>
      <c r="O1944" s="19" t="n"/>
      <c r="P1944" s="19" t="n"/>
    </row>
    <row r="1945">
      <c r="A1945" s="19" t="n"/>
      <c r="B1945" s="19" t="n"/>
      <c r="C1945" s="19" t="n"/>
      <c r="D1945" s="19" t="n"/>
      <c r="E1945" s="19" t="n"/>
      <c r="F1945" s="19" t="n"/>
      <c r="G1945" s="19" t="n"/>
      <c r="H1945" s="19" t="n"/>
      <c r="I1945" s="19" t="n"/>
      <c r="J1945" s="19" t="n"/>
      <c r="K1945" s="19" t="n"/>
      <c r="L1945" s="19" t="n"/>
      <c r="M1945" s="19" t="n"/>
      <c r="N1945" s="19" t="n"/>
      <c r="O1945" s="19" t="n"/>
      <c r="P1945" s="19" t="n"/>
    </row>
    <row r="1946">
      <c r="A1946" s="19" t="n"/>
      <c r="B1946" s="19" t="n"/>
      <c r="C1946" s="19" t="n"/>
      <c r="D1946" s="19" t="n"/>
      <c r="E1946" s="19" t="n"/>
      <c r="F1946" s="19" t="n"/>
      <c r="G1946" s="19" t="n"/>
      <c r="H1946" s="19" t="n"/>
      <c r="I1946" s="19" t="n"/>
      <c r="J1946" s="19" t="n"/>
      <c r="K1946" s="19" t="n"/>
      <c r="L1946" s="19" t="n"/>
      <c r="M1946" s="19" t="n"/>
      <c r="N1946" s="19" t="n"/>
      <c r="O1946" s="19" t="n"/>
      <c r="P1946" s="19" t="n"/>
    </row>
    <row r="1947">
      <c r="A1947" s="19" t="n"/>
      <c r="B1947" s="19" t="n"/>
      <c r="C1947" s="19" t="n"/>
      <c r="D1947" s="19" t="n"/>
      <c r="E1947" s="19" t="n"/>
      <c r="F1947" s="19" t="n"/>
      <c r="G1947" s="19" t="n"/>
      <c r="H1947" s="19" t="n"/>
      <c r="I1947" s="19" t="n"/>
      <c r="J1947" s="19" t="n"/>
      <c r="K1947" s="19" t="n"/>
      <c r="L1947" s="19" t="n"/>
      <c r="M1947" s="19" t="n"/>
      <c r="N1947" s="19" t="n"/>
      <c r="O1947" s="19" t="n"/>
      <c r="P1947" s="19" t="n"/>
    </row>
    <row r="1948">
      <c r="A1948" s="19" t="n"/>
      <c r="B1948" s="19" t="n"/>
      <c r="C1948" s="19" t="n"/>
      <c r="D1948" s="19" t="n"/>
      <c r="E1948" s="19" t="n"/>
      <c r="F1948" s="19" t="n"/>
      <c r="G1948" s="19" t="n"/>
      <c r="H1948" s="19" t="n"/>
      <c r="I1948" s="19" t="n"/>
      <c r="J1948" s="19" t="n"/>
      <c r="K1948" s="19" t="n"/>
      <c r="L1948" s="19" t="n"/>
      <c r="M1948" s="19" t="n"/>
      <c r="N1948" s="19" t="n"/>
      <c r="O1948" s="19" t="n"/>
      <c r="P1948" s="19" t="n"/>
    </row>
    <row r="1949">
      <c r="A1949" s="19" t="n"/>
      <c r="B1949" s="19" t="n"/>
      <c r="C1949" s="19" t="n"/>
      <c r="D1949" s="19" t="n"/>
      <c r="E1949" s="19" t="n"/>
      <c r="F1949" s="19" t="n"/>
      <c r="G1949" s="19" t="n"/>
      <c r="H1949" s="19" t="n"/>
      <c r="I1949" s="19" t="n"/>
      <c r="J1949" s="19" t="n"/>
      <c r="K1949" s="19" t="n"/>
      <c r="L1949" s="19" t="n"/>
      <c r="M1949" s="19" t="n"/>
      <c r="N1949" s="19" t="n"/>
      <c r="O1949" s="19" t="n"/>
      <c r="P1949" s="19" t="n"/>
    </row>
    <row r="1950">
      <c r="A1950" s="19" t="n"/>
      <c r="B1950" s="19" t="n"/>
      <c r="C1950" s="19" t="n"/>
      <c r="D1950" s="19" t="n"/>
      <c r="E1950" s="19" t="n"/>
      <c r="F1950" s="19" t="n"/>
      <c r="G1950" s="19" t="n"/>
      <c r="H1950" s="19" t="n"/>
      <c r="I1950" s="19" t="n"/>
      <c r="J1950" s="19" t="n"/>
      <c r="K1950" s="19" t="n"/>
      <c r="L1950" s="19" t="n"/>
      <c r="M1950" s="19" t="n"/>
      <c r="N1950" s="19" t="n"/>
      <c r="O1950" s="19" t="n"/>
      <c r="P1950" s="19" t="n"/>
    </row>
    <row r="1951">
      <c r="A1951" s="19" t="n"/>
      <c r="B1951" s="19" t="n"/>
      <c r="C1951" s="19" t="n"/>
      <c r="D1951" s="19" t="n"/>
      <c r="E1951" s="19" t="n"/>
      <c r="F1951" s="19" t="n"/>
      <c r="G1951" s="19" t="n"/>
      <c r="H1951" s="19" t="n"/>
      <c r="I1951" s="19" t="n"/>
      <c r="J1951" s="19" t="n"/>
      <c r="K1951" s="19" t="n"/>
      <c r="L1951" s="19" t="n"/>
      <c r="M1951" s="19" t="n"/>
      <c r="N1951" s="19" t="n"/>
      <c r="O1951" s="19" t="n"/>
      <c r="P1951" s="19" t="n"/>
    </row>
    <row r="1952">
      <c r="A1952" s="19" t="n"/>
      <c r="B1952" s="19" t="n"/>
      <c r="C1952" s="19" t="n"/>
      <c r="D1952" s="19" t="n"/>
      <c r="E1952" s="19" t="n"/>
      <c r="F1952" s="19" t="n"/>
      <c r="G1952" s="19" t="n"/>
      <c r="H1952" s="19" t="n"/>
      <c r="I1952" s="19" t="n"/>
      <c r="J1952" s="19" t="n"/>
      <c r="K1952" s="19" t="n"/>
      <c r="L1952" s="19" t="n"/>
      <c r="M1952" s="19" t="n"/>
      <c r="N1952" s="19" t="n"/>
      <c r="O1952" s="19" t="n"/>
      <c r="P1952" s="19" t="n"/>
    </row>
    <row r="1953">
      <c r="A1953" s="19" t="n"/>
      <c r="B1953" s="19" t="n"/>
      <c r="C1953" s="19" t="n"/>
      <c r="D1953" s="19" t="n"/>
      <c r="E1953" s="19" t="n"/>
      <c r="F1953" s="19" t="n"/>
      <c r="G1953" s="19" t="n"/>
      <c r="H1953" s="19" t="n"/>
      <c r="I1953" s="19" t="n"/>
      <c r="J1953" s="19" t="n"/>
      <c r="K1953" s="19" t="n"/>
      <c r="L1953" s="19" t="n"/>
      <c r="M1953" s="19" t="n"/>
      <c r="N1953" s="19" t="n"/>
      <c r="O1953" s="19" t="n"/>
      <c r="P1953" s="19" t="n"/>
    </row>
    <row r="1954">
      <c r="A1954" s="19" t="n"/>
      <c r="B1954" s="19" t="n"/>
      <c r="C1954" s="19" t="n"/>
      <c r="D1954" s="19" t="n"/>
      <c r="E1954" s="19" t="n"/>
      <c r="F1954" s="19" t="n"/>
      <c r="G1954" s="19" t="n"/>
      <c r="H1954" s="19" t="n"/>
      <c r="I1954" s="19" t="n"/>
      <c r="J1954" s="19" t="n"/>
      <c r="K1954" s="19" t="n"/>
      <c r="L1954" s="19" t="n"/>
      <c r="M1954" s="19" t="n"/>
      <c r="N1954" s="19" t="n"/>
      <c r="O1954" s="19" t="n"/>
      <c r="P1954" s="19" t="n"/>
    </row>
    <row r="1955">
      <c r="A1955" s="19" t="n"/>
      <c r="B1955" s="19" t="n"/>
      <c r="C1955" s="19" t="n"/>
      <c r="D1955" s="19" t="n"/>
      <c r="E1955" s="19" t="n"/>
      <c r="F1955" s="19" t="n"/>
      <c r="G1955" s="19" t="n"/>
      <c r="H1955" s="19" t="n"/>
      <c r="I1955" s="19" t="n"/>
      <c r="J1955" s="19" t="n"/>
      <c r="K1955" s="19" t="n"/>
      <c r="L1955" s="19" t="n"/>
      <c r="M1955" s="19" t="n"/>
      <c r="N1955" s="19" t="n"/>
      <c r="O1955" s="19" t="n"/>
      <c r="P1955" s="19" t="n"/>
    </row>
    <row r="1956">
      <c r="A1956" s="19" t="n"/>
      <c r="B1956" s="19" t="n"/>
      <c r="C1956" s="19" t="n"/>
      <c r="D1956" s="19" t="n"/>
      <c r="E1956" s="19" t="n"/>
      <c r="F1956" s="19" t="n"/>
      <c r="G1956" s="19" t="n"/>
      <c r="H1956" s="19" t="n"/>
      <c r="I1956" s="19" t="n"/>
      <c r="J1956" s="19" t="n"/>
      <c r="K1956" s="19" t="n"/>
      <c r="L1956" s="19" t="n"/>
      <c r="M1956" s="19" t="n"/>
      <c r="N1956" s="19" t="n"/>
      <c r="O1956" s="19" t="n"/>
      <c r="P1956" s="19" t="n"/>
    </row>
    <row r="1957">
      <c r="A1957" s="19" t="n"/>
      <c r="B1957" s="19" t="n"/>
      <c r="C1957" s="19" t="n"/>
      <c r="D1957" s="19" t="n"/>
      <c r="E1957" s="19" t="n"/>
      <c r="F1957" s="19" t="n"/>
      <c r="G1957" s="19" t="n"/>
      <c r="H1957" s="19" t="n"/>
      <c r="I1957" s="19" t="n"/>
      <c r="J1957" s="19" t="n"/>
      <c r="K1957" s="19" t="n"/>
      <c r="L1957" s="19" t="n"/>
      <c r="M1957" s="19" t="n"/>
      <c r="N1957" s="19" t="n"/>
      <c r="O1957" s="19" t="n"/>
      <c r="P1957" s="19" t="n"/>
    </row>
    <row r="1958">
      <c r="A1958" s="19" t="n"/>
      <c r="B1958" s="19" t="n"/>
      <c r="C1958" s="19" t="n"/>
      <c r="D1958" s="19" t="n"/>
      <c r="E1958" s="19" t="n"/>
      <c r="F1958" s="19" t="n"/>
      <c r="G1958" s="19" t="n"/>
      <c r="H1958" s="19" t="n"/>
      <c r="I1958" s="19" t="n"/>
      <c r="J1958" s="19" t="n"/>
      <c r="K1958" s="19" t="n"/>
      <c r="L1958" s="19" t="n"/>
      <c r="M1958" s="19" t="n"/>
      <c r="N1958" s="19" t="n"/>
      <c r="O1958" s="19" t="n"/>
      <c r="P1958" s="19" t="n"/>
    </row>
    <row r="1959">
      <c r="A1959" s="19" t="n"/>
      <c r="B1959" s="19" t="n"/>
      <c r="C1959" s="19" t="n"/>
      <c r="D1959" s="19" t="n"/>
      <c r="E1959" s="19" t="n"/>
      <c r="F1959" s="19" t="n"/>
      <c r="G1959" s="19" t="n"/>
      <c r="H1959" s="19" t="n"/>
      <c r="I1959" s="19" t="n"/>
      <c r="J1959" s="19" t="n"/>
      <c r="K1959" s="19" t="n"/>
      <c r="L1959" s="19" t="n"/>
      <c r="M1959" s="19" t="n"/>
      <c r="N1959" s="19" t="n"/>
      <c r="O1959" s="19" t="n"/>
      <c r="P1959" s="19" t="n"/>
    </row>
    <row r="1960">
      <c r="A1960" s="19" t="n"/>
      <c r="B1960" s="19" t="n"/>
      <c r="C1960" s="19" t="n"/>
      <c r="D1960" s="19" t="n"/>
      <c r="E1960" s="19" t="n"/>
      <c r="F1960" s="19" t="n"/>
      <c r="G1960" s="19" t="n"/>
      <c r="H1960" s="19" t="n"/>
      <c r="I1960" s="19" t="n"/>
      <c r="J1960" s="19" t="n"/>
      <c r="K1960" s="19" t="n"/>
      <c r="L1960" s="19" t="n"/>
      <c r="M1960" s="19" t="n"/>
      <c r="N1960" s="19" t="n"/>
      <c r="O1960" s="19" t="n"/>
      <c r="P1960" s="19" t="n"/>
    </row>
    <row r="1961">
      <c r="A1961" s="19" t="n"/>
      <c r="B1961" s="19" t="n"/>
      <c r="C1961" s="19" t="n"/>
      <c r="D1961" s="19" t="n"/>
      <c r="E1961" s="19" t="n"/>
      <c r="F1961" s="19" t="n"/>
      <c r="G1961" s="19" t="n"/>
      <c r="H1961" s="19" t="n"/>
      <c r="I1961" s="19" t="n"/>
      <c r="J1961" s="19" t="n"/>
      <c r="K1961" s="19" t="n"/>
      <c r="L1961" s="19" t="n"/>
      <c r="M1961" s="19" t="n"/>
      <c r="N1961" s="19" t="n"/>
      <c r="O1961" s="19" t="n"/>
      <c r="P1961" s="19" t="n"/>
    </row>
    <row r="1962">
      <c r="A1962" s="19" t="n"/>
      <c r="B1962" s="19" t="n"/>
      <c r="C1962" s="19" t="n"/>
      <c r="D1962" s="19" t="n"/>
      <c r="E1962" s="19" t="n"/>
      <c r="F1962" s="19" t="n"/>
      <c r="G1962" s="19" t="n"/>
      <c r="H1962" s="19" t="n"/>
      <c r="I1962" s="19" t="n"/>
      <c r="J1962" s="19" t="n"/>
      <c r="K1962" s="19" t="n"/>
      <c r="L1962" s="19" t="n"/>
      <c r="M1962" s="19" t="n"/>
      <c r="N1962" s="19" t="n"/>
      <c r="O1962" s="19" t="n"/>
      <c r="P1962" s="19" t="n"/>
    </row>
    <row r="1963">
      <c r="A1963" s="19" t="n"/>
      <c r="B1963" s="19" t="n"/>
      <c r="C1963" s="19" t="n"/>
      <c r="D1963" s="19" t="n"/>
      <c r="E1963" s="19" t="n"/>
      <c r="F1963" s="19" t="n"/>
      <c r="G1963" s="19" t="n"/>
      <c r="H1963" s="19" t="n"/>
      <c r="I1963" s="19" t="n"/>
      <c r="J1963" s="19" t="n"/>
      <c r="K1963" s="19" t="n"/>
      <c r="L1963" s="19" t="n"/>
      <c r="M1963" s="19" t="n"/>
      <c r="N1963" s="19" t="n"/>
      <c r="O1963" s="19" t="n"/>
      <c r="P1963" s="19" t="n"/>
    </row>
    <row r="1964">
      <c r="A1964" s="19" t="n"/>
      <c r="B1964" s="19" t="n"/>
      <c r="C1964" s="19" t="n"/>
      <c r="D1964" s="19" t="n"/>
      <c r="E1964" s="19" t="n"/>
      <c r="F1964" s="19" t="n"/>
      <c r="G1964" s="19" t="n"/>
      <c r="H1964" s="19" t="n"/>
      <c r="I1964" s="19" t="n"/>
      <c r="J1964" s="19" t="n"/>
      <c r="K1964" s="19" t="n"/>
      <c r="L1964" s="19" t="n"/>
      <c r="M1964" s="19" t="n"/>
      <c r="N1964" s="19" t="n"/>
      <c r="O1964" s="19" t="n"/>
      <c r="P1964" s="19" t="n"/>
    </row>
    <row r="1965">
      <c r="A1965" s="19" t="n"/>
      <c r="B1965" s="19" t="n"/>
      <c r="C1965" s="19" t="n"/>
      <c r="D1965" s="19" t="n"/>
      <c r="E1965" s="19" t="n"/>
      <c r="F1965" s="19" t="n"/>
      <c r="G1965" s="19" t="n"/>
      <c r="H1965" s="19" t="n"/>
      <c r="I1965" s="19" t="n"/>
      <c r="J1965" s="19" t="n"/>
      <c r="K1965" s="19" t="n"/>
      <c r="L1965" s="19" t="n"/>
      <c r="M1965" s="19" t="n"/>
      <c r="N1965" s="19" t="n"/>
      <c r="O1965" s="19" t="n"/>
      <c r="P1965" s="19" t="n"/>
    </row>
    <row r="1966">
      <c r="A1966" s="19" t="n"/>
      <c r="B1966" s="19" t="n"/>
      <c r="C1966" s="19" t="n"/>
      <c r="D1966" s="19" t="n"/>
      <c r="E1966" s="19" t="n"/>
      <c r="F1966" s="19" t="n"/>
      <c r="G1966" s="19" t="n"/>
      <c r="H1966" s="19" t="n"/>
      <c r="I1966" s="19" t="n"/>
      <c r="J1966" s="19" t="n"/>
      <c r="K1966" s="19" t="n"/>
      <c r="L1966" s="19" t="n"/>
      <c r="M1966" s="19" t="n"/>
      <c r="N1966" s="19" t="n"/>
      <c r="O1966" s="19" t="n"/>
      <c r="P1966" s="19" t="n"/>
    </row>
    <row r="1967">
      <c r="A1967" s="19" t="n"/>
      <c r="B1967" s="19" t="n"/>
      <c r="C1967" s="19" t="n"/>
      <c r="D1967" s="19" t="n"/>
      <c r="E1967" s="19" t="n"/>
      <c r="F1967" s="19" t="n"/>
      <c r="G1967" s="19" t="n"/>
      <c r="H1967" s="19" t="n"/>
      <c r="I1967" s="19" t="n"/>
      <c r="J1967" s="19" t="n"/>
      <c r="K1967" s="19" t="n"/>
      <c r="L1967" s="19" t="n"/>
      <c r="M1967" s="19" t="n"/>
      <c r="N1967" s="19" t="n"/>
      <c r="O1967" s="19" t="n"/>
      <c r="P1967" s="19" t="n"/>
    </row>
    <row r="1968">
      <c r="A1968" s="19" t="n"/>
      <c r="B1968" s="19" t="n"/>
      <c r="C1968" s="19" t="n"/>
      <c r="D1968" s="19" t="n"/>
      <c r="E1968" s="19" t="n"/>
      <c r="F1968" s="19" t="n"/>
      <c r="G1968" s="19" t="n"/>
      <c r="H1968" s="19" t="n"/>
      <c r="I1968" s="19" t="n"/>
      <c r="J1968" s="19" t="n"/>
      <c r="K1968" s="19" t="n"/>
      <c r="L1968" s="19" t="n"/>
      <c r="M1968" s="19" t="n"/>
      <c r="N1968" s="19" t="n"/>
      <c r="O1968" s="19" t="n"/>
      <c r="P1968" s="19" t="n"/>
    </row>
    <row r="1969">
      <c r="A1969" s="19" t="n"/>
      <c r="B1969" s="19" t="n"/>
      <c r="C1969" s="19" t="n"/>
      <c r="D1969" s="19" t="n"/>
      <c r="E1969" s="19" t="n"/>
      <c r="F1969" s="19" t="n"/>
      <c r="G1969" s="19" t="n"/>
      <c r="H1969" s="19" t="n"/>
      <c r="I1969" s="19" t="n"/>
      <c r="J1969" s="19" t="n"/>
      <c r="K1969" s="19" t="n"/>
      <c r="L1969" s="19" t="n"/>
      <c r="M1969" s="19" t="n"/>
      <c r="N1969" s="19" t="n"/>
      <c r="O1969" s="19" t="n"/>
      <c r="P1969" s="19" t="n"/>
    </row>
    <row r="1970">
      <c r="A1970" s="19" t="n"/>
      <c r="B1970" s="19" t="n"/>
      <c r="C1970" s="19" t="n"/>
      <c r="D1970" s="19" t="n"/>
      <c r="E1970" s="19" t="n"/>
      <c r="F1970" s="19" t="n"/>
      <c r="G1970" s="19" t="n"/>
      <c r="H1970" s="19" t="n"/>
      <c r="I1970" s="19" t="n"/>
      <c r="J1970" s="19" t="n"/>
      <c r="K1970" s="19" t="n"/>
      <c r="L1970" s="19" t="n"/>
      <c r="M1970" s="19" t="n"/>
      <c r="N1970" s="19" t="n"/>
      <c r="O1970" s="19" t="n"/>
      <c r="P1970" s="19" t="n"/>
    </row>
    <row r="1971">
      <c r="A1971" s="19" t="n"/>
      <c r="B1971" s="19" t="n"/>
      <c r="C1971" s="19" t="n"/>
      <c r="D1971" s="19" t="n"/>
      <c r="E1971" s="19" t="n"/>
      <c r="F1971" s="19" t="n"/>
      <c r="G1971" s="19" t="n"/>
      <c r="H1971" s="19" t="n"/>
      <c r="I1971" s="19" t="n"/>
      <c r="J1971" s="19" t="n"/>
      <c r="K1971" s="19" t="n"/>
      <c r="L1971" s="19" t="n"/>
      <c r="M1971" s="19" t="n"/>
      <c r="N1971" s="19" t="n"/>
      <c r="O1971" s="19" t="n"/>
      <c r="P1971" s="19" t="n"/>
    </row>
    <row r="1972">
      <c r="A1972" s="19" t="n"/>
      <c r="B1972" s="19" t="n"/>
      <c r="C1972" s="19" t="n"/>
      <c r="D1972" s="19" t="n"/>
      <c r="E1972" s="19" t="n"/>
      <c r="F1972" s="19" t="n"/>
      <c r="G1972" s="19" t="n"/>
      <c r="H1972" s="19" t="n"/>
      <c r="I1972" s="19" t="n"/>
      <c r="J1972" s="19" t="n"/>
      <c r="K1972" s="19" t="n"/>
      <c r="L1972" s="19" t="n"/>
      <c r="M1972" s="19" t="n"/>
      <c r="N1972" s="19" t="n"/>
      <c r="O1972" s="19" t="n"/>
      <c r="P1972" s="19" t="n"/>
    </row>
    <row r="1973">
      <c r="A1973" s="19" t="n"/>
      <c r="B1973" s="19" t="n"/>
      <c r="C1973" s="19" t="n"/>
      <c r="D1973" s="19" t="n"/>
      <c r="E1973" s="19" t="n"/>
      <c r="F1973" s="19" t="n"/>
      <c r="G1973" s="19" t="n"/>
      <c r="H1973" s="19" t="n"/>
      <c r="I1973" s="19" t="n"/>
      <c r="J1973" s="19" t="n"/>
      <c r="K1973" s="19" t="n"/>
      <c r="L1973" s="19" t="n"/>
      <c r="M1973" s="19" t="n"/>
      <c r="N1973" s="19" t="n"/>
      <c r="O1973" s="19" t="n"/>
      <c r="P1973" s="19" t="n"/>
    </row>
    <row r="1974">
      <c r="A1974" s="19" t="n"/>
      <c r="B1974" s="19" t="n"/>
      <c r="C1974" s="19" t="n"/>
      <c r="D1974" s="19" t="n"/>
      <c r="E1974" s="19" t="n"/>
      <c r="F1974" s="19" t="n"/>
      <c r="G1974" s="19" t="n"/>
      <c r="H1974" s="19" t="n"/>
      <c r="I1974" s="19" t="n"/>
      <c r="J1974" s="19" t="n"/>
      <c r="K1974" s="19" t="n"/>
      <c r="L1974" s="19" t="n"/>
      <c r="M1974" s="19" t="n"/>
      <c r="N1974" s="19" t="n"/>
      <c r="O1974" s="19" t="n"/>
      <c r="P1974" s="19" t="n"/>
    </row>
    <row r="1975">
      <c r="A1975" s="19" t="n"/>
      <c r="B1975" s="19" t="n"/>
      <c r="C1975" s="19" t="n"/>
      <c r="D1975" s="19" t="n"/>
      <c r="E1975" s="19" t="n"/>
      <c r="F1975" s="19" t="n"/>
      <c r="G1975" s="19" t="n"/>
      <c r="H1975" s="19" t="n"/>
      <c r="I1975" s="19" t="n"/>
      <c r="J1975" s="19" t="n"/>
      <c r="K1975" s="19" t="n"/>
      <c r="L1975" s="19" t="n"/>
      <c r="M1975" s="19" t="n"/>
      <c r="N1975" s="19" t="n"/>
      <c r="O1975" s="19" t="n"/>
      <c r="P1975" s="19" t="n"/>
    </row>
    <row r="1976">
      <c r="A1976" s="19" t="n"/>
      <c r="B1976" s="19" t="n"/>
      <c r="C1976" s="19" t="n"/>
      <c r="D1976" s="19" t="n"/>
      <c r="E1976" s="19" t="n"/>
      <c r="F1976" s="19" t="n"/>
      <c r="G1976" s="19" t="n"/>
      <c r="H1976" s="19" t="n"/>
      <c r="I1976" s="19" t="n"/>
      <c r="J1976" s="19" t="n"/>
      <c r="K1976" s="19" t="n"/>
      <c r="L1976" s="19" t="n"/>
      <c r="M1976" s="19" t="n"/>
      <c r="N1976" s="19" t="n"/>
      <c r="O1976" s="19" t="n"/>
      <c r="P1976" s="19" t="n"/>
    </row>
    <row r="1977">
      <c r="A1977" s="19" t="n"/>
      <c r="B1977" s="19" t="n"/>
      <c r="C1977" s="19" t="n"/>
      <c r="D1977" s="19" t="n"/>
      <c r="E1977" s="19" t="n"/>
      <c r="F1977" s="19" t="n"/>
      <c r="G1977" s="19" t="n"/>
      <c r="H1977" s="19" t="n"/>
      <c r="I1977" s="19" t="n"/>
      <c r="J1977" s="19" t="n"/>
      <c r="K1977" s="19" t="n"/>
      <c r="L1977" s="19" t="n"/>
      <c r="M1977" s="19" t="n"/>
      <c r="N1977" s="19" t="n"/>
      <c r="O1977" s="19" t="n"/>
      <c r="P1977" s="19" t="n"/>
    </row>
    <row r="1978">
      <c r="A1978" s="19" t="n"/>
      <c r="B1978" s="19" t="n"/>
      <c r="C1978" s="19" t="n"/>
      <c r="D1978" s="19" t="n"/>
      <c r="E1978" s="19" t="n"/>
      <c r="F1978" s="19" t="n"/>
      <c r="G1978" s="19" t="n"/>
      <c r="H1978" s="19" t="n"/>
      <c r="I1978" s="19" t="n"/>
      <c r="J1978" s="19" t="n"/>
      <c r="K1978" s="19" t="n"/>
      <c r="L1978" s="19" t="n"/>
      <c r="M1978" s="19" t="n"/>
      <c r="N1978" s="19" t="n"/>
      <c r="O1978" s="19" t="n"/>
      <c r="P1978" s="19" t="n"/>
    </row>
    <row r="1979">
      <c r="A1979" s="19" t="n"/>
      <c r="B1979" s="19" t="n"/>
      <c r="C1979" s="19" t="n"/>
      <c r="D1979" s="19" t="n"/>
      <c r="E1979" s="19" t="n"/>
      <c r="F1979" s="19" t="n"/>
      <c r="G1979" s="19" t="n"/>
      <c r="H1979" s="19" t="n"/>
      <c r="I1979" s="19" t="n"/>
      <c r="J1979" s="19" t="n"/>
      <c r="K1979" s="19" t="n"/>
      <c r="L1979" s="19" t="n"/>
      <c r="M1979" s="19" t="n"/>
      <c r="N1979" s="19" t="n"/>
      <c r="O1979" s="19" t="n"/>
      <c r="P1979" s="19" t="n"/>
    </row>
    <row r="1980">
      <c r="A1980" s="19" t="n"/>
      <c r="B1980" s="19" t="n"/>
      <c r="C1980" s="19" t="n"/>
      <c r="D1980" s="19" t="n"/>
      <c r="E1980" s="19" t="n"/>
      <c r="F1980" s="19" t="n"/>
      <c r="G1980" s="19" t="n"/>
      <c r="H1980" s="19" t="n"/>
      <c r="I1980" s="19" t="n"/>
      <c r="J1980" s="19" t="n"/>
      <c r="K1980" s="19" t="n"/>
      <c r="L1980" s="19" t="n"/>
      <c r="M1980" s="19" t="n"/>
      <c r="N1980" s="19" t="n"/>
      <c r="O1980" s="19" t="n"/>
      <c r="P1980" s="19" t="n"/>
    </row>
    <row r="1981">
      <c r="A1981" s="19" t="n"/>
      <c r="B1981" s="19" t="n"/>
      <c r="C1981" s="19" t="n"/>
      <c r="D1981" s="19" t="n"/>
      <c r="E1981" s="19" t="n"/>
      <c r="F1981" s="19" t="n"/>
      <c r="G1981" s="19" t="n"/>
      <c r="H1981" s="19" t="n"/>
      <c r="I1981" s="19" t="n"/>
      <c r="J1981" s="19" t="n"/>
      <c r="K1981" s="19" t="n"/>
      <c r="L1981" s="19" t="n"/>
      <c r="M1981" s="19" t="n"/>
      <c r="N1981" s="19" t="n"/>
      <c r="O1981" s="19" t="n"/>
      <c r="P1981" s="19" t="n"/>
    </row>
    <row r="1982">
      <c r="A1982" s="19" t="n"/>
      <c r="B1982" s="19" t="n"/>
      <c r="C1982" s="19" t="n"/>
      <c r="D1982" s="19" t="n"/>
      <c r="E1982" s="19" t="n"/>
      <c r="F1982" s="19" t="n"/>
      <c r="G1982" s="19" t="n"/>
      <c r="H1982" s="19" t="n"/>
      <c r="I1982" s="19" t="n"/>
      <c r="J1982" s="19" t="n"/>
      <c r="K1982" s="19" t="n"/>
      <c r="L1982" s="19" t="n"/>
      <c r="M1982" s="19" t="n"/>
      <c r="N1982" s="19" t="n"/>
      <c r="O1982" s="19" t="n"/>
      <c r="P1982" s="19" t="n"/>
    </row>
    <row r="1983">
      <c r="A1983" s="19" t="n"/>
      <c r="B1983" s="19" t="n"/>
      <c r="C1983" s="19" t="n"/>
      <c r="D1983" s="19" t="n"/>
      <c r="E1983" s="19" t="n"/>
      <c r="F1983" s="19" t="n"/>
      <c r="G1983" s="19" t="n"/>
      <c r="H1983" s="19" t="n"/>
      <c r="I1983" s="19" t="n"/>
      <c r="J1983" s="19" t="n"/>
      <c r="K1983" s="19" t="n"/>
      <c r="L1983" s="19" t="n"/>
      <c r="M1983" s="19" t="n"/>
      <c r="N1983" s="19" t="n"/>
      <c r="O1983" s="19" t="n"/>
      <c r="P1983" s="19" t="n"/>
    </row>
    <row r="1984">
      <c r="A1984" s="19" t="n"/>
      <c r="B1984" s="19" t="n"/>
      <c r="C1984" s="19" t="n"/>
      <c r="D1984" s="19" t="n"/>
      <c r="E1984" s="19" t="n"/>
      <c r="F1984" s="19" t="n"/>
      <c r="G1984" s="19" t="n"/>
      <c r="H1984" s="19" t="n"/>
      <c r="I1984" s="19" t="n"/>
      <c r="J1984" s="19" t="n"/>
      <c r="K1984" s="19" t="n"/>
      <c r="L1984" s="19" t="n"/>
      <c r="M1984" s="19" t="n"/>
      <c r="N1984" s="19" t="n"/>
      <c r="O1984" s="19" t="n"/>
      <c r="P1984" s="19" t="n"/>
    </row>
    <row r="1985">
      <c r="A1985" s="19" t="n"/>
      <c r="B1985" s="19" t="n"/>
      <c r="C1985" s="19" t="n"/>
      <c r="D1985" s="19" t="n"/>
      <c r="E1985" s="19" t="n"/>
      <c r="F1985" s="19" t="n"/>
      <c r="G1985" s="19" t="n"/>
      <c r="H1985" s="19" t="n"/>
      <c r="I1985" s="19" t="n"/>
      <c r="J1985" s="19" t="n"/>
      <c r="K1985" s="19" t="n"/>
      <c r="L1985" s="19" t="n"/>
      <c r="M1985" s="19" t="n"/>
      <c r="N1985" s="19" t="n"/>
      <c r="O1985" s="19" t="n"/>
      <c r="P1985" s="19" t="n"/>
    </row>
    <row r="1986">
      <c r="A1986" s="19" t="n"/>
      <c r="B1986" s="19" t="n"/>
      <c r="C1986" s="19" t="n"/>
      <c r="D1986" s="19" t="n"/>
      <c r="E1986" s="19" t="n"/>
      <c r="F1986" s="19" t="n"/>
      <c r="G1986" s="19" t="n"/>
      <c r="H1986" s="19" t="n"/>
      <c r="I1986" s="19" t="n"/>
      <c r="J1986" s="19" t="n"/>
      <c r="K1986" s="19" t="n"/>
      <c r="L1986" s="19" t="n"/>
      <c r="M1986" s="19" t="n"/>
      <c r="N1986" s="19" t="n"/>
      <c r="O1986" s="19" t="n"/>
      <c r="P1986" s="19" t="n"/>
    </row>
    <row r="1987">
      <c r="A1987" s="19" t="n"/>
      <c r="B1987" s="19" t="n"/>
      <c r="C1987" s="19" t="n"/>
      <c r="D1987" s="19" t="n"/>
      <c r="E1987" s="19" t="n"/>
      <c r="F1987" s="19" t="n"/>
      <c r="G1987" s="19" t="n"/>
      <c r="H1987" s="19" t="n"/>
      <c r="I1987" s="19" t="n"/>
      <c r="J1987" s="19" t="n"/>
      <c r="K1987" s="19" t="n"/>
      <c r="L1987" s="19" t="n"/>
      <c r="M1987" s="19" t="n"/>
      <c r="N1987" s="19" t="n"/>
      <c r="O1987" s="19" t="n"/>
      <c r="P1987" s="19" t="n"/>
    </row>
    <row r="1988">
      <c r="A1988" s="19" t="n"/>
      <c r="B1988" s="19" t="n"/>
      <c r="C1988" s="19" t="n"/>
      <c r="D1988" s="19" t="n"/>
      <c r="E1988" s="19" t="n"/>
      <c r="F1988" s="19" t="n"/>
      <c r="G1988" s="19" t="n"/>
      <c r="H1988" s="19" t="n"/>
      <c r="I1988" s="19" t="n"/>
      <c r="J1988" s="19" t="n"/>
      <c r="K1988" s="19" t="n"/>
      <c r="L1988" s="19" t="n"/>
      <c r="M1988" s="19" t="n"/>
      <c r="N1988" s="19" t="n"/>
      <c r="O1988" s="19" t="n"/>
      <c r="P1988" s="19" t="n"/>
    </row>
    <row r="1989">
      <c r="A1989" s="19" t="n"/>
      <c r="B1989" s="19" t="n"/>
      <c r="C1989" s="19" t="n"/>
      <c r="D1989" s="19" t="n"/>
      <c r="E1989" s="19" t="n"/>
      <c r="F1989" s="19" t="n"/>
      <c r="G1989" s="19" t="n"/>
      <c r="H1989" s="19" t="n"/>
      <c r="I1989" s="19" t="n"/>
      <c r="J1989" s="19" t="n"/>
      <c r="K1989" s="19" t="n"/>
      <c r="L1989" s="19" t="n"/>
      <c r="M1989" s="19" t="n"/>
      <c r="N1989" s="19" t="n"/>
      <c r="O1989" s="19" t="n"/>
      <c r="P1989" s="19" t="n"/>
    </row>
    <row r="1990">
      <c r="A1990" s="19" t="n"/>
      <c r="B1990" s="19" t="n"/>
      <c r="C1990" s="19" t="n"/>
      <c r="D1990" s="19" t="n"/>
      <c r="E1990" s="19" t="n"/>
      <c r="F1990" s="19" t="n"/>
      <c r="G1990" s="19" t="n"/>
      <c r="H1990" s="19" t="n"/>
      <c r="I1990" s="19" t="n"/>
      <c r="J1990" s="19" t="n"/>
      <c r="K1990" s="19" t="n"/>
      <c r="L1990" s="19" t="n"/>
      <c r="M1990" s="19" t="n"/>
      <c r="N1990" s="19" t="n"/>
      <c r="O1990" s="19" t="n"/>
      <c r="P1990" s="19" t="n"/>
    </row>
    <row r="1991">
      <c r="A1991" s="19" t="n"/>
      <c r="B1991" s="19" t="n"/>
      <c r="C1991" s="19" t="n"/>
      <c r="D1991" s="19" t="n"/>
      <c r="E1991" s="19" t="n"/>
      <c r="F1991" s="19" t="n"/>
      <c r="G1991" s="19" t="n"/>
      <c r="H1991" s="19" t="n"/>
      <c r="I1991" s="19" t="n"/>
      <c r="J1991" s="19" t="n"/>
      <c r="K1991" s="19" t="n"/>
      <c r="L1991" s="19" t="n"/>
      <c r="M1991" s="19" t="n"/>
      <c r="N1991" s="19" t="n"/>
      <c r="O1991" s="19" t="n"/>
      <c r="P1991" s="19" t="n"/>
    </row>
    <row r="1992">
      <c r="A1992" s="19" t="n"/>
      <c r="B1992" s="19" t="n"/>
      <c r="C1992" s="19" t="n"/>
      <c r="D1992" s="19" t="n"/>
      <c r="E1992" s="19" t="n"/>
      <c r="F1992" s="19" t="n"/>
      <c r="G1992" s="19" t="n"/>
      <c r="H1992" s="19" t="n"/>
      <c r="I1992" s="19" t="n"/>
      <c r="J1992" s="19" t="n"/>
      <c r="K1992" s="19" t="n"/>
      <c r="L1992" s="19" t="n"/>
      <c r="M1992" s="19" t="n"/>
      <c r="N1992" s="19" t="n"/>
      <c r="O1992" s="19" t="n"/>
      <c r="P1992" s="19" t="n"/>
    </row>
    <row r="1993">
      <c r="A1993" s="19" t="n"/>
      <c r="B1993" s="19" t="n"/>
      <c r="C1993" s="19" t="n"/>
      <c r="D1993" s="19" t="n"/>
      <c r="E1993" s="19" t="n"/>
      <c r="F1993" s="19" t="n"/>
      <c r="G1993" s="19" t="n"/>
      <c r="H1993" s="19" t="n"/>
      <c r="I1993" s="19" t="n"/>
      <c r="J1993" s="19" t="n"/>
      <c r="K1993" s="19" t="n"/>
      <c r="L1993" s="19" t="n"/>
      <c r="M1993" s="19" t="n"/>
      <c r="N1993" s="19" t="n"/>
      <c r="O1993" s="19" t="n"/>
      <c r="P1993" s="19" t="n"/>
    </row>
    <row r="1994">
      <c r="A1994" s="19" t="n"/>
      <c r="B1994" s="19" t="n"/>
      <c r="C1994" s="19" t="n"/>
      <c r="D1994" s="19" t="n"/>
      <c r="E1994" s="19" t="n"/>
      <c r="F1994" s="19" t="n"/>
      <c r="G1994" s="19" t="n"/>
      <c r="H1994" s="19" t="n"/>
      <c r="I1994" s="19" t="n"/>
      <c r="J1994" s="19" t="n"/>
      <c r="K1994" s="19" t="n"/>
      <c r="L1994" s="19" t="n"/>
      <c r="M1994" s="19" t="n"/>
      <c r="N1994" s="19" t="n"/>
      <c r="O1994" s="19" t="n"/>
      <c r="P1994" s="19" t="n"/>
    </row>
    <row r="1995">
      <c r="A1995" s="19" t="n"/>
      <c r="B1995" s="19" t="n"/>
      <c r="C1995" s="19" t="n"/>
      <c r="D1995" s="19" t="n"/>
      <c r="E1995" s="19" t="n"/>
      <c r="F1995" s="19" t="n"/>
      <c r="G1995" s="19" t="n"/>
      <c r="H1995" s="19" t="n"/>
      <c r="I1995" s="19" t="n"/>
      <c r="J1995" s="19" t="n"/>
      <c r="K1995" s="19" t="n"/>
      <c r="L1995" s="19" t="n"/>
      <c r="M1995" s="19" t="n"/>
      <c r="N1995" s="19" t="n"/>
      <c r="O1995" s="19" t="n"/>
      <c r="P1995" s="19" t="n"/>
    </row>
    <row r="1996">
      <c r="A1996" s="19" t="n"/>
      <c r="B1996" s="19" t="n"/>
      <c r="C1996" s="19" t="n"/>
      <c r="D1996" s="19" t="n"/>
      <c r="E1996" s="19" t="n"/>
      <c r="F1996" s="19" t="n"/>
      <c r="G1996" s="19" t="n"/>
      <c r="H1996" s="19" t="n"/>
      <c r="I1996" s="19" t="n"/>
      <c r="J1996" s="19" t="n"/>
      <c r="K1996" s="19" t="n"/>
      <c r="L1996" s="19" t="n"/>
      <c r="M1996" s="19" t="n"/>
      <c r="N1996" s="19" t="n"/>
      <c r="O1996" s="19" t="n"/>
      <c r="P1996" s="19" t="n"/>
    </row>
    <row r="1997">
      <c r="A1997" s="19" t="n"/>
      <c r="B1997" s="19" t="n"/>
      <c r="C1997" s="19" t="n"/>
      <c r="D1997" s="19" t="n"/>
      <c r="E1997" s="19" t="n"/>
      <c r="F1997" s="19" t="n"/>
      <c r="G1997" s="19" t="n"/>
      <c r="H1997" s="19" t="n"/>
      <c r="I1997" s="19" t="n"/>
      <c r="J1997" s="19" t="n"/>
      <c r="K1997" s="19" t="n"/>
      <c r="L1997" s="19" t="n"/>
      <c r="M1997" s="19" t="n"/>
      <c r="N1997" s="19" t="n"/>
      <c r="O1997" s="19" t="n"/>
      <c r="P1997" s="19" t="n"/>
    </row>
    <row r="1998">
      <c r="A1998" s="19" t="n"/>
      <c r="B1998" s="19" t="n"/>
      <c r="C1998" s="19" t="n"/>
      <c r="D1998" s="19" t="n"/>
      <c r="E1998" s="19" t="n"/>
      <c r="F1998" s="19" t="n"/>
      <c r="G1998" s="19" t="n"/>
      <c r="H1998" s="19" t="n"/>
      <c r="I1998" s="19" t="n"/>
      <c r="J1998" s="19" t="n"/>
      <c r="K1998" s="19" t="n"/>
      <c r="L1998" s="19" t="n"/>
      <c r="M1998" s="19" t="n"/>
      <c r="N1998" s="19" t="n"/>
      <c r="O1998" s="19" t="n"/>
      <c r="P1998" s="19" t="n"/>
    </row>
    <row r="1999">
      <c r="A1999" s="19" t="n"/>
      <c r="B1999" s="19" t="n"/>
      <c r="C1999" s="19" t="n"/>
      <c r="D1999" s="19" t="n"/>
      <c r="E1999" s="19" t="n"/>
      <c r="F1999" s="19" t="n"/>
      <c r="G1999" s="19" t="n"/>
      <c r="H1999" s="19" t="n"/>
      <c r="I1999" s="19" t="n"/>
      <c r="J1999" s="19" t="n"/>
      <c r="K1999" s="19" t="n"/>
      <c r="L1999" s="19" t="n"/>
      <c r="M1999" s="19" t="n"/>
      <c r="N1999" s="19" t="n"/>
      <c r="O1999" s="19" t="n"/>
      <c r="P1999" s="19" t="n"/>
    </row>
    <row r="2000">
      <c r="A2000" s="19" t="n"/>
      <c r="B2000" s="19" t="n"/>
      <c r="C2000" s="19" t="n"/>
      <c r="D2000" s="19" t="n"/>
      <c r="E2000" s="19" t="n"/>
      <c r="F2000" s="19" t="n"/>
      <c r="G2000" s="19" t="n"/>
      <c r="H2000" s="19" t="n"/>
      <c r="I2000" s="19" t="n"/>
      <c r="J2000" s="19" t="n"/>
      <c r="K2000" s="19" t="n"/>
      <c r="L2000" s="19" t="n"/>
      <c r="M2000" s="19" t="n"/>
      <c r="N2000" s="19" t="n"/>
      <c r="O2000" s="19" t="n"/>
      <c r="P2000" s="19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 password="CE4B"/>
  <dataValidations count="3">
    <dataValidation sqref="H5:H4000" showDropDown="0" showInputMessage="0" showErrorMessage="1" allowBlank="1" errorTitle="Invalid value" error="Value not in list" type="list">
      <formula1>=lstTransactionTypeList</formula1>
    </dataValidation>
    <dataValidation sqref="I5:J4000" showDropDown="0" showInputMessage="0" showErrorMessage="1" allowBlank="1" errorTitle="Invalid value" error="Value not in list" type="list">
      <formula1>=lstStatusList</formula1>
    </dataValidation>
    <dataValidation sqref="N5:N4000" showDropDown="0" showInputMessage="0" showErrorMessage="1" allowBlank="1" errorTitle="Invalid value" error="Value not in list" type="list">
      <formula1>=lstTransactionReason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455A64"/>
    <outlinePr summaryBelow="1" summaryRight="1"/>
    <pageSetUpPr/>
  </sheetPr>
  <dimension ref="A1:H200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14" customWidth="1" min="5" max="5"/>
    <col width="20" customWidth="1" min="6" max="6"/>
    <col width="24" customWidth="1" min="7" max="7"/>
    <col width="20" customWidth="1" min="8" max="8"/>
  </cols>
  <sheetData>
    <row r="1">
      <c r="A1" s="1" t="inlineStr">
        <is>
          <t>tblSuppliers</t>
        </is>
      </c>
    </row>
    <row r="2">
      <c r="A2" s="2" t="inlineStr">
        <is>
          <t>Supplier catalogue. SupplierID references from tblProducts.</t>
        </is>
      </c>
    </row>
    <row r="3"/>
    <row r="4">
      <c r="A4" s="6" t="inlineStr">
        <is>
          <t>SupplierID</t>
        </is>
      </c>
      <c r="B4" s="6" t="inlineStr">
        <is>
          <t>SupplierName</t>
        </is>
      </c>
      <c r="C4" s="6" t="inlineStr">
        <is>
          <t>ContactName</t>
        </is>
      </c>
      <c r="D4" s="6" t="inlineStr">
        <is>
          <t>Email</t>
        </is>
      </c>
      <c r="E4" s="6" t="inlineStr">
        <is>
          <t>Phone</t>
        </is>
      </c>
      <c r="F4" s="6" t="inlineStr">
        <is>
          <t>Website</t>
        </is>
      </c>
      <c r="G4" s="6" t="inlineStr">
        <is>
          <t>Address</t>
        </is>
      </c>
      <c r="H4" s="6" t="inlineStr">
        <is>
          <t>Notes</t>
        </is>
      </c>
    </row>
    <row r="5">
      <c r="A5" s="19" t="inlineStr">
        <is>
          <t>S000001</t>
        </is>
      </c>
      <c r="B5" s="19" t="inlineStr">
        <is>
          <t>LabSupply Co.</t>
        </is>
      </c>
      <c r="C5" s="19" t="inlineStr">
        <is>
          <t>A. Rivera</t>
        </is>
      </c>
      <c r="D5" s="19" t="inlineStr">
        <is>
          <t>orders@labsupply.example</t>
        </is>
      </c>
      <c r="E5" s="19" t="inlineStr">
        <is>
          <t>+1 555 0101</t>
        </is>
      </c>
      <c r="F5" s="19" t="inlineStr">
        <is>
          <t>labsupply.example</t>
        </is>
      </c>
      <c r="G5" s="19" t="inlineStr">
        <is>
          <t>123 Industrial Pkwy, Springfield</t>
        </is>
      </c>
      <c r="H5" s="19" t="inlineStr">
        <is>
          <t>Primary general supplier</t>
        </is>
      </c>
    </row>
    <row r="6">
      <c r="A6" s="19" t="inlineStr">
        <is>
          <t>S000002</t>
        </is>
      </c>
      <c r="B6" s="19" t="inlineStr">
        <is>
          <t>ChemCore Ltd.</t>
        </is>
      </c>
      <c r="C6" s="19" t="inlineStr">
        <is>
          <t>B. Novak</t>
        </is>
      </c>
      <c r="D6" s="19" t="inlineStr">
        <is>
          <t>sales@chemcore.example</t>
        </is>
      </c>
      <c r="E6" s="19" t="inlineStr">
        <is>
          <t>+1 555 0102</t>
        </is>
      </c>
      <c r="F6" s="19" t="inlineStr">
        <is>
          <t>chemcore.example</t>
        </is>
      </c>
      <c r="G6" s="19" t="inlineStr">
        <is>
          <t>45 Analytical Way, Brookfield</t>
        </is>
      </c>
      <c r="H6" s="19" t="inlineStr">
        <is>
          <t>Chemicals/reagents</t>
        </is>
      </c>
    </row>
    <row r="7">
      <c r="A7" s="19" t="inlineStr">
        <is>
          <t>S000003</t>
        </is>
      </c>
      <c r="B7" s="19" t="inlineStr">
        <is>
          <t>TipTech GmbH</t>
        </is>
      </c>
      <c r="C7" s="19" t="inlineStr">
        <is>
          <t>C. Meier</t>
        </is>
      </c>
      <c r="D7" s="19" t="inlineStr">
        <is>
          <t>info@tiptech.example</t>
        </is>
      </c>
      <c r="E7" s="19" t="inlineStr">
        <is>
          <t>+49 30 555 0103</t>
        </is>
      </c>
      <c r="F7" s="19" t="inlineStr">
        <is>
          <t>tiptech.example</t>
        </is>
      </c>
      <c r="G7" s="19" t="inlineStr">
        <is>
          <t>9 Laborenstrasse, Berlin</t>
        </is>
      </c>
      <c r="H7" s="19" t="inlineStr">
        <is>
          <t>Pipette tips and plastics</t>
        </is>
      </c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</row>
    <row r="71">
      <c r="A71" s="19" t="n"/>
      <c r="B71" s="19" t="n"/>
      <c r="C71" s="19" t="n"/>
      <c r="D71" s="19" t="n"/>
      <c r="E71" s="19" t="n"/>
      <c r="F71" s="19" t="n"/>
      <c r="G71" s="19" t="n"/>
      <c r="H71" s="19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</row>
    <row r="75">
      <c r="A75" s="19" t="n"/>
      <c r="B75" s="19" t="n"/>
      <c r="C75" s="19" t="n"/>
      <c r="D75" s="19" t="n"/>
      <c r="E75" s="19" t="n"/>
      <c r="F75" s="19" t="n"/>
      <c r="G75" s="19" t="n"/>
      <c r="H75" s="19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</row>
    <row r="77">
      <c r="A77" s="19" t="n"/>
      <c r="B77" s="19" t="n"/>
      <c r="C77" s="19" t="n"/>
      <c r="D77" s="19" t="n"/>
      <c r="E77" s="19" t="n"/>
      <c r="F77" s="19" t="n"/>
      <c r="G77" s="19" t="n"/>
      <c r="H77" s="19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</row>
    <row r="93">
      <c r="A93" s="19" t="n"/>
      <c r="B93" s="19" t="n"/>
      <c r="C93" s="19" t="n"/>
      <c r="D93" s="19" t="n"/>
      <c r="E93" s="19" t="n"/>
      <c r="F93" s="19" t="n"/>
      <c r="G93" s="19" t="n"/>
      <c r="H93" s="19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</row>
    <row r="95">
      <c r="A95" s="19" t="n"/>
      <c r="B95" s="19" t="n"/>
      <c r="C95" s="19" t="n"/>
      <c r="D95" s="19" t="n"/>
      <c r="E95" s="19" t="n"/>
      <c r="F95" s="19" t="n"/>
      <c r="G95" s="19" t="n"/>
      <c r="H95" s="19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</row>
    <row r="101">
      <c r="A101" s="19" t="n"/>
      <c r="B101" s="19" t="n"/>
      <c r="C101" s="19" t="n"/>
      <c r="D101" s="19" t="n"/>
      <c r="E101" s="19" t="n"/>
      <c r="F101" s="19" t="n"/>
      <c r="G101" s="19" t="n"/>
      <c r="H101" s="19" t="n"/>
    </row>
    <row r="102">
      <c r="A102" s="19" t="n"/>
      <c r="B102" s="19" t="n"/>
      <c r="C102" s="19" t="n"/>
      <c r="D102" s="19" t="n"/>
      <c r="E102" s="19" t="n"/>
      <c r="F102" s="19" t="n"/>
      <c r="G102" s="19" t="n"/>
      <c r="H102" s="19" t="n"/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n"/>
    </row>
    <row r="104">
      <c r="A104" s="19" t="n"/>
      <c r="B104" s="19" t="n"/>
      <c r="C104" s="19" t="n"/>
      <c r="D104" s="19" t="n"/>
      <c r="E104" s="19" t="n"/>
      <c r="F104" s="19" t="n"/>
      <c r="G104" s="19" t="n"/>
      <c r="H104" s="19" t="n"/>
    </row>
    <row r="105">
      <c r="A105" s="19" t="n"/>
      <c r="B105" s="19" t="n"/>
      <c r="C105" s="19" t="n"/>
      <c r="D105" s="19" t="n"/>
      <c r="E105" s="19" t="n"/>
      <c r="F105" s="19" t="n"/>
      <c r="G105" s="19" t="n"/>
      <c r="H105" s="19" t="n"/>
    </row>
    <row r="106">
      <c r="A106" s="19" t="n"/>
      <c r="B106" s="19" t="n"/>
      <c r="C106" s="19" t="n"/>
      <c r="D106" s="19" t="n"/>
      <c r="E106" s="19" t="n"/>
      <c r="F106" s="19" t="n"/>
      <c r="G106" s="19" t="n"/>
      <c r="H106" s="19" t="n"/>
    </row>
    <row r="107">
      <c r="A107" s="19" t="n"/>
      <c r="B107" s="19" t="n"/>
      <c r="C107" s="19" t="n"/>
      <c r="D107" s="19" t="n"/>
      <c r="E107" s="19" t="n"/>
      <c r="F107" s="19" t="n"/>
      <c r="G107" s="19" t="n"/>
      <c r="H107" s="19" t="n"/>
    </row>
    <row r="108">
      <c r="A108" s="19" t="n"/>
      <c r="B108" s="19" t="n"/>
      <c r="C108" s="19" t="n"/>
      <c r="D108" s="19" t="n"/>
      <c r="E108" s="19" t="n"/>
      <c r="F108" s="19" t="n"/>
      <c r="G108" s="19" t="n"/>
      <c r="H108" s="19" t="n"/>
    </row>
    <row r="109">
      <c r="A109" s="19" t="n"/>
      <c r="B109" s="19" t="n"/>
      <c r="C109" s="19" t="n"/>
      <c r="D109" s="19" t="n"/>
      <c r="E109" s="19" t="n"/>
      <c r="F109" s="19" t="n"/>
      <c r="G109" s="19" t="n"/>
      <c r="H109" s="19" t="n"/>
    </row>
    <row r="110">
      <c r="A110" s="19" t="n"/>
      <c r="B110" s="19" t="n"/>
      <c r="C110" s="19" t="n"/>
      <c r="D110" s="19" t="n"/>
      <c r="E110" s="19" t="n"/>
      <c r="F110" s="19" t="n"/>
      <c r="G110" s="19" t="n"/>
      <c r="H110" s="19" t="n"/>
    </row>
    <row r="111">
      <c r="A111" s="19" t="n"/>
      <c r="B111" s="19" t="n"/>
      <c r="C111" s="19" t="n"/>
      <c r="D111" s="19" t="n"/>
      <c r="E111" s="19" t="n"/>
      <c r="F111" s="19" t="n"/>
      <c r="G111" s="19" t="n"/>
      <c r="H111" s="19" t="n"/>
    </row>
    <row r="112">
      <c r="A112" s="19" t="n"/>
      <c r="B112" s="19" t="n"/>
      <c r="C112" s="19" t="n"/>
      <c r="D112" s="19" t="n"/>
      <c r="E112" s="19" t="n"/>
      <c r="F112" s="19" t="n"/>
      <c r="G112" s="19" t="n"/>
      <c r="H112" s="19" t="n"/>
    </row>
    <row r="113">
      <c r="A113" s="19" t="n"/>
      <c r="B113" s="19" t="n"/>
      <c r="C113" s="19" t="n"/>
      <c r="D113" s="19" t="n"/>
      <c r="E113" s="19" t="n"/>
      <c r="F113" s="19" t="n"/>
      <c r="G113" s="19" t="n"/>
      <c r="H113" s="19" t="n"/>
    </row>
    <row r="114">
      <c r="A114" s="19" t="n"/>
      <c r="B114" s="19" t="n"/>
      <c r="C114" s="19" t="n"/>
      <c r="D114" s="19" t="n"/>
      <c r="E114" s="19" t="n"/>
      <c r="F114" s="19" t="n"/>
      <c r="G114" s="19" t="n"/>
      <c r="H114" s="19" t="n"/>
    </row>
    <row r="115">
      <c r="A115" s="19" t="n"/>
      <c r="B115" s="19" t="n"/>
      <c r="C115" s="19" t="n"/>
      <c r="D115" s="19" t="n"/>
      <c r="E115" s="19" t="n"/>
      <c r="F115" s="19" t="n"/>
      <c r="G115" s="19" t="n"/>
      <c r="H115" s="19" t="n"/>
    </row>
    <row r="116">
      <c r="A116" s="19" t="n"/>
      <c r="B116" s="19" t="n"/>
      <c r="C116" s="19" t="n"/>
      <c r="D116" s="19" t="n"/>
      <c r="E116" s="19" t="n"/>
      <c r="F116" s="19" t="n"/>
      <c r="G116" s="19" t="n"/>
      <c r="H116" s="19" t="n"/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</row>
    <row r="997">
      <c r="A997" s="19" t="n"/>
      <c r="B997" s="19" t="n"/>
      <c r="C997" s="19" t="n"/>
      <c r="D997" s="19" t="n"/>
      <c r="E997" s="19" t="n"/>
      <c r="F997" s="19" t="n"/>
      <c r="G997" s="19" t="n"/>
      <c r="H997" s="19" t="n"/>
    </row>
    <row r="998">
      <c r="A998" s="19" t="n"/>
      <c r="B998" s="19" t="n"/>
      <c r="C998" s="19" t="n"/>
      <c r="D998" s="19" t="n"/>
      <c r="E998" s="19" t="n"/>
      <c r="F998" s="19" t="n"/>
      <c r="G998" s="19" t="n"/>
      <c r="H998" s="19" t="n"/>
    </row>
    <row r="999">
      <c r="A999" s="19" t="n"/>
      <c r="B999" s="19" t="n"/>
      <c r="C999" s="19" t="n"/>
      <c r="D999" s="19" t="n"/>
      <c r="E999" s="19" t="n"/>
      <c r="F999" s="19" t="n"/>
      <c r="G999" s="19" t="n"/>
      <c r="H999" s="19" t="n"/>
    </row>
    <row r="1000">
      <c r="A1000" s="19" t="n"/>
      <c r="B1000" s="19" t="n"/>
      <c r="C1000" s="19" t="n"/>
      <c r="D1000" s="19" t="n"/>
      <c r="E1000" s="19" t="n"/>
      <c r="F1000" s="19" t="n"/>
      <c r="G1000" s="19" t="n"/>
      <c r="H1000" s="19" t="n"/>
    </row>
    <row r="1001">
      <c r="A1001" s="19" t="n"/>
      <c r="B1001" s="19" t="n"/>
      <c r="C1001" s="19" t="n"/>
      <c r="D1001" s="19" t="n"/>
      <c r="E1001" s="19" t="n"/>
      <c r="F1001" s="19" t="n"/>
      <c r="G1001" s="19" t="n"/>
      <c r="H1001" s="19" t="n"/>
    </row>
    <row r="1002">
      <c r="A1002" s="19" t="n"/>
      <c r="B1002" s="19" t="n"/>
      <c r="C1002" s="19" t="n"/>
      <c r="D1002" s="19" t="n"/>
      <c r="E1002" s="19" t="n"/>
      <c r="F1002" s="19" t="n"/>
      <c r="G1002" s="19" t="n"/>
      <c r="H1002" s="19" t="n"/>
    </row>
    <row r="1003">
      <c r="A1003" s="19" t="n"/>
      <c r="B1003" s="19" t="n"/>
      <c r="C1003" s="19" t="n"/>
      <c r="D1003" s="19" t="n"/>
      <c r="E1003" s="19" t="n"/>
      <c r="F1003" s="19" t="n"/>
      <c r="G1003" s="19" t="n"/>
      <c r="H1003" s="19" t="n"/>
    </row>
    <row r="1004">
      <c r="A1004" s="19" t="n"/>
      <c r="B1004" s="19" t="n"/>
      <c r="C1004" s="19" t="n"/>
      <c r="D1004" s="19" t="n"/>
      <c r="E1004" s="19" t="n"/>
      <c r="F1004" s="19" t="n"/>
      <c r="G1004" s="19" t="n"/>
      <c r="H1004" s="19" t="n"/>
    </row>
    <row r="1005">
      <c r="A1005" s="19" t="n"/>
      <c r="B1005" s="19" t="n"/>
      <c r="C1005" s="19" t="n"/>
      <c r="D1005" s="19" t="n"/>
      <c r="E1005" s="19" t="n"/>
      <c r="F1005" s="19" t="n"/>
      <c r="G1005" s="19" t="n"/>
      <c r="H1005" s="19" t="n"/>
    </row>
    <row r="1006">
      <c r="A1006" s="19" t="n"/>
      <c r="B1006" s="19" t="n"/>
      <c r="C1006" s="19" t="n"/>
      <c r="D1006" s="19" t="n"/>
      <c r="E1006" s="19" t="n"/>
      <c r="F1006" s="19" t="n"/>
      <c r="G1006" s="19" t="n"/>
      <c r="H1006" s="19" t="n"/>
    </row>
    <row r="1007">
      <c r="A1007" s="19" t="n"/>
      <c r="B1007" s="19" t="n"/>
      <c r="C1007" s="19" t="n"/>
      <c r="D1007" s="19" t="n"/>
      <c r="E1007" s="19" t="n"/>
      <c r="F1007" s="19" t="n"/>
      <c r="G1007" s="19" t="n"/>
      <c r="H1007" s="19" t="n"/>
    </row>
    <row r="1008">
      <c r="A1008" s="19" t="n"/>
      <c r="B1008" s="19" t="n"/>
      <c r="C1008" s="19" t="n"/>
      <c r="D1008" s="19" t="n"/>
      <c r="E1008" s="19" t="n"/>
      <c r="F1008" s="19" t="n"/>
      <c r="G1008" s="19" t="n"/>
      <c r="H1008" s="19" t="n"/>
    </row>
    <row r="100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</row>
    <row r="1010">
      <c r="A1010" s="19" t="n"/>
      <c r="B1010" s="19" t="n"/>
      <c r="C1010" s="19" t="n"/>
      <c r="D1010" s="19" t="n"/>
      <c r="E1010" s="19" t="n"/>
      <c r="F1010" s="19" t="n"/>
      <c r="G1010" s="19" t="n"/>
      <c r="H1010" s="19" t="n"/>
    </row>
    <row r="1011">
      <c r="A1011" s="19" t="n"/>
      <c r="B1011" s="19" t="n"/>
      <c r="C1011" s="19" t="n"/>
      <c r="D1011" s="19" t="n"/>
      <c r="E1011" s="19" t="n"/>
      <c r="F1011" s="19" t="n"/>
      <c r="G1011" s="19" t="n"/>
      <c r="H1011" s="19" t="n"/>
    </row>
    <row r="1012">
      <c r="A1012" s="19" t="n"/>
      <c r="B1012" s="19" t="n"/>
      <c r="C1012" s="19" t="n"/>
      <c r="D1012" s="19" t="n"/>
      <c r="E1012" s="19" t="n"/>
      <c r="F1012" s="19" t="n"/>
      <c r="G1012" s="19" t="n"/>
      <c r="H1012" s="19" t="n"/>
    </row>
    <row r="1013">
      <c r="A1013" s="19" t="n"/>
      <c r="B1013" s="19" t="n"/>
      <c r="C1013" s="19" t="n"/>
      <c r="D1013" s="19" t="n"/>
      <c r="E1013" s="19" t="n"/>
      <c r="F1013" s="19" t="n"/>
      <c r="G1013" s="19" t="n"/>
      <c r="H1013" s="19" t="n"/>
    </row>
    <row r="1014">
      <c r="A1014" s="19" t="n"/>
      <c r="B1014" s="19" t="n"/>
      <c r="C1014" s="19" t="n"/>
      <c r="D1014" s="19" t="n"/>
      <c r="E1014" s="19" t="n"/>
      <c r="F1014" s="19" t="n"/>
      <c r="G1014" s="19" t="n"/>
      <c r="H1014" s="19" t="n"/>
    </row>
    <row r="1015">
      <c r="A1015" s="19" t="n"/>
      <c r="B1015" s="19" t="n"/>
      <c r="C1015" s="19" t="n"/>
      <c r="D1015" s="19" t="n"/>
      <c r="E1015" s="19" t="n"/>
      <c r="F1015" s="19" t="n"/>
      <c r="G1015" s="19" t="n"/>
      <c r="H1015" s="19" t="n"/>
    </row>
    <row r="1016">
      <c r="A1016" s="19" t="n"/>
      <c r="B1016" s="19" t="n"/>
      <c r="C1016" s="19" t="n"/>
      <c r="D1016" s="19" t="n"/>
      <c r="E1016" s="19" t="n"/>
      <c r="F1016" s="19" t="n"/>
      <c r="G1016" s="19" t="n"/>
      <c r="H1016" s="19" t="n"/>
    </row>
    <row r="1017">
      <c r="A1017" s="19" t="n"/>
      <c r="B1017" s="19" t="n"/>
      <c r="C1017" s="19" t="n"/>
      <c r="D1017" s="19" t="n"/>
      <c r="E1017" s="19" t="n"/>
      <c r="F1017" s="19" t="n"/>
      <c r="G1017" s="19" t="n"/>
      <c r="H1017" s="19" t="n"/>
    </row>
    <row r="1018">
      <c r="A1018" s="19" t="n"/>
      <c r="B1018" s="19" t="n"/>
      <c r="C1018" s="19" t="n"/>
      <c r="D1018" s="19" t="n"/>
      <c r="E1018" s="19" t="n"/>
      <c r="F1018" s="19" t="n"/>
      <c r="G1018" s="19" t="n"/>
      <c r="H1018" s="19" t="n"/>
    </row>
    <row r="101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</row>
    <row r="1020">
      <c r="A1020" s="19" t="n"/>
      <c r="B1020" s="19" t="n"/>
      <c r="C1020" s="19" t="n"/>
      <c r="D1020" s="19" t="n"/>
      <c r="E1020" s="19" t="n"/>
      <c r="F1020" s="19" t="n"/>
      <c r="G1020" s="19" t="n"/>
      <c r="H1020" s="19" t="n"/>
    </row>
    <row r="1021">
      <c r="A1021" s="19" t="n"/>
      <c r="B1021" s="19" t="n"/>
      <c r="C1021" s="19" t="n"/>
      <c r="D1021" s="19" t="n"/>
      <c r="E1021" s="19" t="n"/>
      <c r="F1021" s="19" t="n"/>
      <c r="G1021" s="19" t="n"/>
      <c r="H1021" s="19" t="n"/>
    </row>
    <row r="1022">
      <c r="A1022" s="19" t="n"/>
      <c r="B1022" s="19" t="n"/>
      <c r="C1022" s="19" t="n"/>
      <c r="D1022" s="19" t="n"/>
      <c r="E1022" s="19" t="n"/>
      <c r="F1022" s="19" t="n"/>
      <c r="G1022" s="19" t="n"/>
      <c r="H1022" s="19" t="n"/>
    </row>
    <row r="1023">
      <c r="A1023" s="19" t="n"/>
      <c r="B1023" s="19" t="n"/>
      <c r="C1023" s="19" t="n"/>
      <c r="D1023" s="19" t="n"/>
      <c r="E1023" s="19" t="n"/>
      <c r="F1023" s="19" t="n"/>
      <c r="G1023" s="19" t="n"/>
      <c r="H1023" s="19" t="n"/>
    </row>
    <row r="1024">
      <c r="A1024" s="19" t="n"/>
      <c r="B1024" s="19" t="n"/>
      <c r="C1024" s="19" t="n"/>
      <c r="D1024" s="19" t="n"/>
      <c r="E1024" s="19" t="n"/>
      <c r="F1024" s="19" t="n"/>
      <c r="G1024" s="19" t="n"/>
      <c r="H1024" s="19" t="n"/>
    </row>
    <row r="1025">
      <c r="A1025" s="19" t="n"/>
      <c r="B1025" s="19" t="n"/>
      <c r="C1025" s="19" t="n"/>
      <c r="D1025" s="19" t="n"/>
      <c r="E1025" s="19" t="n"/>
      <c r="F1025" s="19" t="n"/>
      <c r="G1025" s="19" t="n"/>
      <c r="H1025" s="19" t="n"/>
    </row>
    <row r="1026">
      <c r="A1026" s="19" t="n"/>
      <c r="B1026" s="19" t="n"/>
      <c r="C1026" s="19" t="n"/>
      <c r="D1026" s="19" t="n"/>
      <c r="E1026" s="19" t="n"/>
      <c r="F1026" s="19" t="n"/>
      <c r="G1026" s="19" t="n"/>
      <c r="H1026" s="19" t="n"/>
    </row>
    <row r="1027">
      <c r="A1027" s="19" t="n"/>
      <c r="B1027" s="19" t="n"/>
      <c r="C1027" s="19" t="n"/>
      <c r="D1027" s="19" t="n"/>
      <c r="E1027" s="19" t="n"/>
      <c r="F1027" s="19" t="n"/>
      <c r="G1027" s="19" t="n"/>
      <c r="H1027" s="19" t="n"/>
    </row>
    <row r="1028">
      <c r="A1028" s="19" t="n"/>
      <c r="B1028" s="19" t="n"/>
      <c r="C1028" s="19" t="n"/>
      <c r="D1028" s="19" t="n"/>
      <c r="E1028" s="19" t="n"/>
      <c r="F1028" s="19" t="n"/>
      <c r="G1028" s="19" t="n"/>
      <c r="H1028" s="19" t="n"/>
    </row>
    <row r="102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</row>
    <row r="1030">
      <c r="A1030" s="19" t="n"/>
      <c r="B1030" s="19" t="n"/>
      <c r="C1030" s="19" t="n"/>
      <c r="D1030" s="19" t="n"/>
      <c r="E1030" s="19" t="n"/>
      <c r="F1030" s="19" t="n"/>
      <c r="G1030" s="19" t="n"/>
      <c r="H1030" s="19" t="n"/>
    </row>
    <row r="1031">
      <c r="A1031" s="19" t="n"/>
      <c r="B1031" s="19" t="n"/>
      <c r="C1031" s="19" t="n"/>
      <c r="D1031" s="19" t="n"/>
      <c r="E1031" s="19" t="n"/>
      <c r="F1031" s="19" t="n"/>
      <c r="G1031" s="19" t="n"/>
      <c r="H1031" s="19" t="n"/>
    </row>
    <row r="1032">
      <c r="A1032" s="19" t="n"/>
      <c r="B1032" s="19" t="n"/>
      <c r="C1032" s="19" t="n"/>
      <c r="D1032" s="19" t="n"/>
      <c r="E1032" s="19" t="n"/>
      <c r="F1032" s="19" t="n"/>
      <c r="G1032" s="19" t="n"/>
      <c r="H1032" s="19" t="n"/>
    </row>
    <row r="1033">
      <c r="A1033" s="19" t="n"/>
      <c r="B1033" s="19" t="n"/>
      <c r="C1033" s="19" t="n"/>
      <c r="D1033" s="19" t="n"/>
      <c r="E1033" s="19" t="n"/>
      <c r="F1033" s="19" t="n"/>
      <c r="G1033" s="19" t="n"/>
      <c r="H1033" s="19" t="n"/>
    </row>
    <row r="1034">
      <c r="A1034" s="19" t="n"/>
      <c r="B1034" s="19" t="n"/>
      <c r="C1034" s="19" t="n"/>
      <c r="D1034" s="19" t="n"/>
      <c r="E1034" s="19" t="n"/>
      <c r="F1034" s="19" t="n"/>
      <c r="G1034" s="19" t="n"/>
      <c r="H1034" s="19" t="n"/>
    </row>
    <row r="1035">
      <c r="A1035" s="19" t="n"/>
      <c r="B1035" s="19" t="n"/>
      <c r="C1035" s="19" t="n"/>
      <c r="D1035" s="19" t="n"/>
      <c r="E1035" s="19" t="n"/>
      <c r="F1035" s="19" t="n"/>
      <c r="G1035" s="19" t="n"/>
      <c r="H1035" s="19" t="n"/>
    </row>
    <row r="1036">
      <c r="A1036" s="19" t="n"/>
      <c r="B1036" s="19" t="n"/>
      <c r="C1036" s="19" t="n"/>
      <c r="D1036" s="19" t="n"/>
      <c r="E1036" s="19" t="n"/>
      <c r="F1036" s="19" t="n"/>
      <c r="G1036" s="19" t="n"/>
      <c r="H1036" s="19" t="n"/>
    </row>
    <row r="1037">
      <c r="A1037" s="19" t="n"/>
      <c r="B1037" s="19" t="n"/>
      <c r="C1037" s="19" t="n"/>
      <c r="D1037" s="19" t="n"/>
      <c r="E1037" s="19" t="n"/>
      <c r="F1037" s="19" t="n"/>
      <c r="G1037" s="19" t="n"/>
      <c r="H1037" s="19" t="n"/>
    </row>
    <row r="1038">
      <c r="A1038" s="19" t="n"/>
      <c r="B1038" s="19" t="n"/>
      <c r="C1038" s="19" t="n"/>
      <c r="D1038" s="19" t="n"/>
      <c r="E1038" s="19" t="n"/>
      <c r="F1038" s="19" t="n"/>
      <c r="G1038" s="19" t="n"/>
      <c r="H1038" s="19" t="n"/>
    </row>
    <row r="10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</row>
    <row r="1040">
      <c r="A1040" s="19" t="n"/>
      <c r="B1040" s="19" t="n"/>
      <c r="C1040" s="19" t="n"/>
      <c r="D1040" s="19" t="n"/>
      <c r="E1040" s="19" t="n"/>
      <c r="F1040" s="19" t="n"/>
      <c r="G1040" s="19" t="n"/>
      <c r="H1040" s="19" t="n"/>
    </row>
    <row r="1041">
      <c r="A1041" s="19" t="n"/>
      <c r="B1041" s="19" t="n"/>
      <c r="C1041" s="19" t="n"/>
      <c r="D1041" s="19" t="n"/>
      <c r="E1041" s="19" t="n"/>
      <c r="F1041" s="19" t="n"/>
      <c r="G1041" s="19" t="n"/>
      <c r="H1041" s="19" t="n"/>
    </row>
    <row r="1042">
      <c r="A1042" s="19" t="n"/>
      <c r="B1042" s="19" t="n"/>
      <c r="C1042" s="19" t="n"/>
      <c r="D1042" s="19" t="n"/>
      <c r="E1042" s="19" t="n"/>
      <c r="F1042" s="19" t="n"/>
      <c r="G1042" s="19" t="n"/>
      <c r="H1042" s="19" t="n"/>
    </row>
    <row r="1043">
      <c r="A1043" s="19" t="n"/>
      <c r="B1043" s="19" t="n"/>
      <c r="C1043" s="19" t="n"/>
      <c r="D1043" s="19" t="n"/>
      <c r="E1043" s="19" t="n"/>
      <c r="F1043" s="19" t="n"/>
      <c r="G1043" s="19" t="n"/>
      <c r="H1043" s="19" t="n"/>
    </row>
    <row r="1044">
      <c r="A1044" s="19" t="n"/>
      <c r="B1044" s="19" t="n"/>
      <c r="C1044" s="19" t="n"/>
      <c r="D1044" s="19" t="n"/>
      <c r="E1044" s="19" t="n"/>
      <c r="F1044" s="19" t="n"/>
      <c r="G1044" s="19" t="n"/>
      <c r="H1044" s="19" t="n"/>
    </row>
    <row r="1045">
      <c r="A1045" s="19" t="n"/>
      <c r="B1045" s="19" t="n"/>
      <c r="C1045" s="19" t="n"/>
      <c r="D1045" s="19" t="n"/>
      <c r="E1045" s="19" t="n"/>
      <c r="F1045" s="19" t="n"/>
      <c r="G1045" s="19" t="n"/>
      <c r="H1045" s="19" t="n"/>
    </row>
    <row r="1046">
      <c r="A1046" s="19" t="n"/>
      <c r="B1046" s="19" t="n"/>
      <c r="C1046" s="19" t="n"/>
      <c r="D1046" s="19" t="n"/>
      <c r="E1046" s="19" t="n"/>
      <c r="F1046" s="19" t="n"/>
      <c r="G1046" s="19" t="n"/>
      <c r="H1046" s="19" t="n"/>
    </row>
    <row r="1047">
      <c r="A1047" s="19" t="n"/>
      <c r="B1047" s="19" t="n"/>
      <c r="C1047" s="19" t="n"/>
      <c r="D1047" s="19" t="n"/>
      <c r="E1047" s="19" t="n"/>
      <c r="F1047" s="19" t="n"/>
      <c r="G1047" s="19" t="n"/>
      <c r="H1047" s="19" t="n"/>
    </row>
    <row r="1048">
      <c r="A1048" s="19" t="n"/>
      <c r="B1048" s="19" t="n"/>
      <c r="C1048" s="19" t="n"/>
      <c r="D1048" s="19" t="n"/>
      <c r="E1048" s="19" t="n"/>
      <c r="F1048" s="19" t="n"/>
      <c r="G1048" s="19" t="n"/>
      <c r="H1048" s="19" t="n"/>
    </row>
    <row r="104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</row>
    <row r="1050">
      <c r="A1050" s="19" t="n"/>
      <c r="B1050" s="19" t="n"/>
      <c r="C1050" s="19" t="n"/>
      <c r="D1050" s="19" t="n"/>
      <c r="E1050" s="19" t="n"/>
      <c r="F1050" s="19" t="n"/>
      <c r="G1050" s="19" t="n"/>
      <c r="H1050" s="19" t="n"/>
    </row>
    <row r="1051">
      <c r="A1051" s="19" t="n"/>
      <c r="B1051" s="19" t="n"/>
      <c r="C1051" s="19" t="n"/>
      <c r="D1051" s="19" t="n"/>
      <c r="E1051" s="19" t="n"/>
      <c r="F1051" s="19" t="n"/>
      <c r="G1051" s="19" t="n"/>
      <c r="H1051" s="19" t="n"/>
    </row>
    <row r="1052">
      <c r="A1052" s="19" t="n"/>
      <c r="B1052" s="19" t="n"/>
      <c r="C1052" s="19" t="n"/>
      <c r="D1052" s="19" t="n"/>
      <c r="E1052" s="19" t="n"/>
      <c r="F1052" s="19" t="n"/>
      <c r="G1052" s="19" t="n"/>
      <c r="H1052" s="19" t="n"/>
    </row>
    <row r="1053">
      <c r="A1053" s="19" t="n"/>
      <c r="B1053" s="19" t="n"/>
      <c r="C1053" s="19" t="n"/>
      <c r="D1053" s="19" t="n"/>
      <c r="E1053" s="19" t="n"/>
      <c r="F1053" s="19" t="n"/>
      <c r="G1053" s="19" t="n"/>
      <c r="H1053" s="19" t="n"/>
    </row>
    <row r="1054">
      <c r="A1054" s="19" t="n"/>
      <c r="B1054" s="19" t="n"/>
      <c r="C1054" s="19" t="n"/>
      <c r="D1054" s="19" t="n"/>
      <c r="E1054" s="19" t="n"/>
      <c r="F1054" s="19" t="n"/>
      <c r="G1054" s="19" t="n"/>
      <c r="H1054" s="19" t="n"/>
    </row>
    <row r="1055">
      <c r="A1055" s="19" t="n"/>
      <c r="B1055" s="19" t="n"/>
      <c r="C1055" s="19" t="n"/>
      <c r="D1055" s="19" t="n"/>
      <c r="E1055" s="19" t="n"/>
      <c r="F1055" s="19" t="n"/>
      <c r="G1055" s="19" t="n"/>
      <c r="H1055" s="19" t="n"/>
    </row>
    <row r="1056">
      <c r="A1056" s="19" t="n"/>
      <c r="B1056" s="19" t="n"/>
      <c r="C1056" s="19" t="n"/>
      <c r="D1056" s="19" t="n"/>
      <c r="E1056" s="19" t="n"/>
      <c r="F1056" s="19" t="n"/>
      <c r="G1056" s="19" t="n"/>
      <c r="H1056" s="19" t="n"/>
    </row>
    <row r="1057">
      <c r="A1057" s="19" t="n"/>
      <c r="B1057" s="19" t="n"/>
      <c r="C1057" s="19" t="n"/>
      <c r="D1057" s="19" t="n"/>
      <c r="E1057" s="19" t="n"/>
      <c r="F1057" s="19" t="n"/>
      <c r="G1057" s="19" t="n"/>
      <c r="H1057" s="19" t="n"/>
    </row>
    <row r="1058">
      <c r="A1058" s="19" t="n"/>
      <c r="B1058" s="19" t="n"/>
      <c r="C1058" s="19" t="n"/>
      <c r="D1058" s="19" t="n"/>
      <c r="E1058" s="19" t="n"/>
      <c r="F1058" s="19" t="n"/>
      <c r="G1058" s="19" t="n"/>
      <c r="H1058" s="19" t="n"/>
    </row>
    <row r="105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</row>
    <row r="1060">
      <c r="A1060" s="19" t="n"/>
      <c r="B1060" s="19" t="n"/>
      <c r="C1060" s="19" t="n"/>
      <c r="D1060" s="19" t="n"/>
      <c r="E1060" s="19" t="n"/>
      <c r="F1060" s="19" t="n"/>
      <c r="G1060" s="19" t="n"/>
      <c r="H1060" s="19" t="n"/>
    </row>
    <row r="1061">
      <c r="A1061" s="19" t="n"/>
      <c r="B1061" s="19" t="n"/>
      <c r="C1061" s="19" t="n"/>
      <c r="D1061" s="19" t="n"/>
      <c r="E1061" s="19" t="n"/>
      <c r="F1061" s="19" t="n"/>
      <c r="G1061" s="19" t="n"/>
      <c r="H1061" s="19" t="n"/>
    </row>
    <row r="1062">
      <c r="A1062" s="19" t="n"/>
      <c r="B1062" s="19" t="n"/>
      <c r="C1062" s="19" t="n"/>
      <c r="D1062" s="19" t="n"/>
      <c r="E1062" s="19" t="n"/>
      <c r="F1062" s="19" t="n"/>
      <c r="G1062" s="19" t="n"/>
      <c r="H1062" s="19" t="n"/>
    </row>
    <row r="1063">
      <c r="A1063" s="19" t="n"/>
      <c r="B1063" s="19" t="n"/>
      <c r="C1063" s="19" t="n"/>
      <c r="D1063" s="19" t="n"/>
      <c r="E1063" s="19" t="n"/>
      <c r="F1063" s="19" t="n"/>
      <c r="G1063" s="19" t="n"/>
      <c r="H1063" s="19" t="n"/>
    </row>
    <row r="1064">
      <c r="A1064" s="19" t="n"/>
      <c r="B1064" s="19" t="n"/>
      <c r="C1064" s="19" t="n"/>
      <c r="D1064" s="19" t="n"/>
      <c r="E1064" s="19" t="n"/>
      <c r="F1064" s="19" t="n"/>
      <c r="G1064" s="19" t="n"/>
      <c r="H1064" s="19" t="n"/>
    </row>
    <row r="1065">
      <c r="A1065" s="19" t="n"/>
      <c r="B1065" s="19" t="n"/>
      <c r="C1065" s="19" t="n"/>
      <c r="D1065" s="19" t="n"/>
      <c r="E1065" s="19" t="n"/>
      <c r="F1065" s="19" t="n"/>
      <c r="G1065" s="19" t="n"/>
      <c r="H1065" s="19" t="n"/>
    </row>
    <row r="1066">
      <c r="A1066" s="19" t="n"/>
      <c r="B1066" s="19" t="n"/>
      <c r="C1066" s="19" t="n"/>
      <c r="D1066" s="19" t="n"/>
      <c r="E1066" s="19" t="n"/>
      <c r="F1066" s="19" t="n"/>
      <c r="G1066" s="19" t="n"/>
      <c r="H1066" s="19" t="n"/>
    </row>
    <row r="1067">
      <c r="A1067" s="19" t="n"/>
      <c r="B1067" s="19" t="n"/>
      <c r="C1067" s="19" t="n"/>
      <c r="D1067" s="19" t="n"/>
      <c r="E1067" s="19" t="n"/>
      <c r="F1067" s="19" t="n"/>
      <c r="G1067" s="19" t="n"/>
      <c r="H1067" s="19" t="n"/>
    </row>
    <row r="1068">
      <c r="A1068" s="19" t="n"/>
      <c r="B1068" s="19" t="n"/>
      <c r="C1068" s="19" t="n"/>
      <c r="D1068" s="19" t="n"/>
      <c r="E1068" s="19" t="n"/>
      <c r="F1068" s="19" t="n"/>
      <c r="G1068" s="19" t="n"/>
      <c r="H1068" s="19" t="n"/>
    </row>
    <row r="106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</row>
    <row r="1070">
      <c r="A1070" s="19" t="n"/>
      <c r="B1070" s="19" t="n"/>
      <c r="C1070" s="19" t="n"/>
      <c r="D1070" s="19" t="n"/>
      <c r="E1070" s="19" t="n"/>
      <c r="F1070" s="19" t="n"/>
      <c r="G1070" s="19" t="n"/>
      <c r="H1070" s="19" t="n"/>
    </row>
    <row r="1071">
      <c r="A1071" s="19" t="n"/>
      <c r="B1071" s="19" t="n"/>
      <c r="C1071" s="19" t="n"/>
      <c r="D1071" s="19" t="n"/>
      <c r="E1071" s="19" t="n"/>
      <c r="F1071" s="19" t="n"/>
      <c r="G1071" s="19" t="n"/>
      <c r="H1071" s="19" t="n"/>
    </row>
    <row r="1072">
      <c r="A1072" s="19" t="n"/>
      <c r="B1072" s="19" t="n"/>
      <c r="C1072" s="19" t="n"/>
      <c r="D1072" s="19" t="n"/>
      <c r="E1072" s="19" t="n"/>
      <c r="F1072" s="19" t="n"/>
      <c r="G1072" s="19" t="n"/>
      <c r="H1072" s="19" t="n"/>
    </row>
    <row r="1073">
      <c r="A1073" s="19" t="n"/>
      <c r="B1073" s="19" t="n"/>
      <c r="C1073" s="19" t="n"/>
      <c r="D1073" s="19" t="n"/>
      <c r="E1073" s="19" t="n"/>
      <c r="F1073" s="19" t="n"/>
      <c r="G1073" s="19" t="n"/>
      <c r="H1073" s="19" t="n"/>
    </row>
    <row r="1074">
      <c r="A1074" s="19" t="n"/>
      <c r="B1074" s="19" t="n"/>
      <c r="C1074" s="19" t="n"/>
      <c r="D1074" s="19" t="n"/>
      <c r="E1074" s="19" t="n"/>
      <c r="F1074" s="19" t="n"/>
      <c r="G1074" s="19" t="n"/>
      <c r="H1074" s="19" t="n"/>
    </row>
    <row r="1075">
      <c r="A1075" s="19" t="n"/>
      <c r="B1075" s="19" t="n"/>
      <c r="C1075" s="19" t="n"/>
      <c r="D1075" s="19" t="n"/>
      <c r="E1075" s="19" t="n"/>
      <c r="F1075" s="19" t="n"/>
      <c r="G1075" s="19" t="n"/>
      <c r="H1075" s="19" t="n"/>
    </row>
    <row r="1076">
      <c r="A1076" s="19" t="n"/>
      <c r="B1076" s="19" t="n"/>
      <c r="C1076" s="19" t="n"/>
      <c r="D1076" s="19" t="n"/>
      <c r="E1076" s="19" t="n"/>
      <c r="F1076" s="19" t="n"/>
      <c r="G1076" s="19" t="n"/>
      <c r="H1076" s="19" t="n"/>
    </row>
    <row r="1077">
      <c r="A1077" s="19" t="n"/>
      <c r="B1077" s="19" t="n"/>
      <c r="C1077" s="19" t="n"/>
      <c r="D1077" s="19" t="n"/>
      <c r="E1077" s="19" t="n"/>
      <c r="F1077" s="19" t="n"/>
      <c r="G1077" s="19" t="n"/>
      <c r="H1077" s="19" t="n"/>
    </row>
    <row r="1078">
      <c r="A1078" s="19" t="n"/>
      <c r="B1078" s="19" t="n"/>
      <c r="C1078" s="19" t="n"/>
      <c r="D1078" s="19" t="n"/>
      <c r="E1078" s="19" t="n"/>
      <c r="F1078" s="19" t="n"/>
      <c r="G1078" s="19" t="n"/>
      <c r="H1078" s="19" t="n"/>
    </row>
    <row r="107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</row>
    <row r="1080">
      <c r="A1080" s="19" t="n"/>
      <c r="B1080" s="19" t="n"/>
      <c r="C1080" s="19" t="n"/>
      <c r="D1080" s="19" t="n"/>
      <c r="E1080" s="19" t="n"/>
      <c r="F1080" s="19" t="n"/>
      <c r="G1080" s="19" t="n"/>
      <c r="H1080" s="19" t="n"/>
    </row>
    <row r="1081">
      <c r="A1081" s="19" t="n"/>
      <c r="B1081" s="19" t="n"/>
      <c r="C1081" s="19" t="n"/>
      <c r="D1081" s="19" t="n"/>
      <c r="E1081" s="19" t="n"/>
      <c r="F1081" s="19" t="n"/>
      <c r="G1081" s="19" t="n"/>
      <c r="H1081" s="19" t="n"/>
    </row>
    <row r="1082">
      <c r="A1082" s="19" t="n"/>
      <c r="B1082" s="19" t="n"/>
      <c r="C1082" s="19" t="n"/>
      <c r="D1082" s="19" t="n"/>
      <c r="E1082" s="19" t="n"/>
      <c r="F1082" s="19" t="n"/>
      <c r="G1082" s="19" t="n"/>
      <c r="H1082" s="19" t="n"/>
    </row>
    <row r="1083">
      <c r="A1083" s="19" t="n"/>
      <c r="B1083" s="19" t="n"/>
      <c r="C1083" s="19" t="n"/>
      <c r="D1083" s="19" t="n"/>
      <c r="E1083" s="19" t="n"/>
      <c r="F1083" s="19" t="n"/>
      <c r="G1083" s="19" t="n"/>
      <c r="H1083" s="19" t="n"/>
    </row>
    <row r="1084">
      <c r="A1084" s="19" t="n"/>
      <c r="B1084" s="19" t="n"/>
      <c r="C1084" s="19" t="n"/>
      <c r="D1084" s="19" t="n"/>
      <c r="E1084" s="19" t="n"/>
      <c r="F1084" s="19" t="n"/>
      <c r="G1084" s="19" t="n"/>
      <c r="H1084" s="19" t="n"/>
    </row>
    <row r="1085">
      <c r="A1085" s="19" t="n"/>
      <c r="B1085" s="19" t="n"/>
      <c r="C1085" s="19" t="n"/>
      <c r="D1085" s="19" t="n"/>
      <c r="E1085" s="19" t="n"/>
      <c r="F1085" s="19" t="n"/>
      <c r="G1085" s="19" t="n"/>
      <c r="H1085" s="19" t="n"/>
    </row>
    <row r="1086">
      <c r="A1086" s="19" t="n"/>
      <c r="B1086" s="19" t="n"/>
      <c r="C1086" s="19" t="n"/>
      <c r="D1086" s="19" t="n"/>
      <c r="E1086" s="19" t="n"/>
      <c r="F1086" s="19" t="n"/>
      <c r="G1086" s="19" t="n"/>
      <c r="H1086" s="19" t="n"/>
    </row>
    <row r="1087">
      <c r="A1087" s="19" t="n"/>
      <c r="B1087" s="19" t="n"/>
      <c r="C1087" s="19" t="n"/>
      <c r="D1087" s="19" t="n"/>
      <c r="E1087" s="19" t="n"/>
      <c r="F1087" s="19" t="n"/>
      <c r="G1087" s="19" t="n"/>
      <c r="H1087" s="19" t="n"/>
    </row>
    <row r="1088">
      <c r="A1088" s="19" t="n"/>
      <c r="B1088" s="19" t="n"/>
      <c r="C1088" s="19" t="n"/>
      <c r="D1088" s="19" t="n"/>
      <c r="E1088" s="19" t="n"/>
      <c r="F1088" s="19" t="n"/>
      <c r="G1088" s="19" t="n"/>
      <c r="H1088" s="19" t="n"/>
    </row>
    <row r="108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</row>
    <row r="1090">
      <c r="A1090" s="19" t="n"/>
      <c r="B1090" s="19" t="n"/>
      <c r="C1090" s="19" t="n"/>
      <c r="D1090" s="19" t="n"/>
      <c r="E1090" s="19" t="n"/>
      <c r="F1090" s="19" t="n"/>
      <c r="G1090" s="19" t="n"/>
      <c r="H1090" s="19" t="n"/>
    </row>
    <row r="1091">
      <c r="A1091" s="19" t="n"/>
      <c r="B1091" s="19" t="n"/>
      <c r="C1091" s="19" t="n"/>
      <c r="D1091" s="19" t="n"/>
      <c r="E1091" s="19" t="n"/>
      <c r="F1091" s="19" t="n"/>
      <c r="G1091" s="19" t="n"/>
      <c r="H1091" s="19" t="n"/>
    </row>
    <row r="1092">
      <c r="A1092" s="19" t="n"/>
      <c r="B1092" s="19" t="n"/>
      <c r="C1092" s="19" t="n"/>
      <c r="D1092" s="19" t="n"/>
      <c r="E1092" s="19" t="n"/>
      <c r="F1092" s="19" t="n"/>
      <c r="G1092" s="19" t="n"/>
      <c r="H1092" s="19" t="n"/>
    </row>
    <row r="1093">
      <c r="A1093" s="19" t="n"/>
      <c r="B1093" s="19" t="n"/>
      <c r="C1093" s="19" t="n"/>
      <c r="D1093" s="19" t="n"/>
      <c r="E1093" s="19" t="n"/>
      <c r="F1093" s="19" t="n"/>
      <c r="G1093" s="19" t="n"/>
      <c r="H1093" s="19" t="n"/>
    </row>
    <row r="1094">
      <c r="A1094" s="19" t="n"/>
      <c r="B1094" s="19" t="n"/>
      <c r="C1094" s="19" t="n"/>
      <c r="D1094" s="19" t="n"/>
      <c r="E1094" s="19" t="n"/>
      <c r="F1094" s="19" t="n"/>
      <c r="G1094" s="19" t="n"/>
      <c r="H1094" s="19" t="n"/>
    </row>
    <row r="1095">
      <c r="A1095" s="19" t="n"/>
      <c r="B1095" s="19" t="n"/>
      <c r="C1095" s="19" t="n"/>
      <c r="D1095" s="19" t="n"/>
      <c r="E1095" s="19" t="n"/>
      <c r="F1095" s="19" t="n"/>
      <c r="G1095" s="19" t="n"/>
      <c r="H1095" s="19" t="n"/>
    </row>
    <row r="1096">
      <c r="A1096" s="19" t="n"/>
      <c r="B1096" s="19" t="n"/>
      <c r="C1096" s="19" t="n"/>
      <c r="D1096" s="19" t="n"/>
      <c r="E1096" s="19" t="n"/>
      <c r="F1096" s="19" t="n"/>
      <c r="G1096" s="19" t="n"/>
      <c r="H1096" s="19" t="n"/>
    </row>
    <row r="1097">
      <c r="A1097" s="19" t="n"/>
      <c r="B1097" s="19" t="n"/>
      <c r="C1097" s="19" t="n"/>
      <c r="D1097" s="19" t="n"/>
      <c r="E1097" s="19" t="n"/>
      <c r="F1097" s="19" t="n"/>
      <c r="G1097" s="19" t="n"/>
      <c r="H1097" s="19" t="n"/>
    </row>
    <row r="1098">
      <c r="A1098" s="19" t="n"/>
      <c r="B1098" s="19" t="n"/>
      <c r="C1098" s="19" t="n"/>
      <c r="D1098" s="19" t="n"/>
      <c r="E1098" s="19" t="n"/>
      <c r="F1098" s="19" t="n"/>
      <c r="G1098" s="19" t="n"/>
      <c r="H1098" s="19" t="n"/>
    </row>
    <row r="109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</row>
    <row r="1100">
      <c r="A1100" s="19" t="n"/>
      <c r="B1100" s="19" t="n"/>
      <c r="C1100" s="19" t="n"/>
      <c r="D1100" s="19" t="n"/>
      <c r="E1100" s="19" t="n"/>
      <c r="F1100" s="19" t="n"/>
      <c r="G1100" s="19" t="n"/>
      <c r="H1100" s="19" t="n"/>
    </row>
    <row r="1101">
      <c r="A1101" s="19" t="n"/>
      <c r="B1101" s="19" t="n"/>
      <c r="C1101" s="19" t="n"/>
      <c r="D1101" s="19" t="n"/>
      <c r="E1101" s="19" t="n"/>
      <c r="F1101" s="19" t="n"/>
      <c r="G1101" s="19" t="n"/>
      <c r="H1101" s="19" t="n"/>
    </row>
    <row r="1102">
      <c r="A1102" s="19" t="n"/>
      <c r="B1102" s="19" t="n"/>
      <c r="C1102" s="19" t="n"/>
      <c r="D1102" s="19" t="n"/>
      <c r="E1102" s="19" t="n"/>
      <c r="F1102" s="19" t="n"/>
      <c r="G1102" s="19" t="n"/>
      <c r="H1102" s="19" t="n"/>
    </row>
    <row r="1103">
      <c r="A1103" s="19" t="n"/>
      <c r="B1103" s="19" t="n"/>
      <c r="C1103" s="19" t="n"/>
      <c r="D1103" s="19" t="n"/>
      <c r="E1103" s="19" t="n"/>
      <c r="F1103" s="19" t="n"/>
      <c r="G1103" s="19" t="n"/>
      <c r="H1103" s="19" t="n"/>
    </row>
    <row r="1104">
      <c r="A1104" s="19" t="n"/>
      <c r="B1104" s="19" t="n"/>
      <c r="C1104" s="19" t="n"/>
      <c r="D1104" s="19" t="n"/>
      <c r="E1104" s="19" t="n"/>
      <c r="F1104" s="19" t="n"/>
      <c r="G1104" s="19" t="n"/>
      <c r="H1104" s="19" t="n"/>
    </row>
    <row r="1105">
      <c r="A1105" s="19" t="n"/>
      <c r="B1105" s="19" t="n"/>
      <c r="C1105" s="19" t="n"/>
      <c r="D1105" s="19" t="n"/>
      <c r="E1105" s="19" t="n"/>
      <c r="F1105" s="19" t="n"/>
      <c r="G1105" s="19" t="n"/>
      <c r="H1105" s="19" t="n"/>
    </row>
    <row r="1106">
      <c r="A1106" s="19" t="n"/>
      <c r="B1106" s="19" t="n"/>
      <c r="C1106" s="19" t="n"/>
      <c r="D1106" s="19" t="n"/>
      <c r="E1106" s="19" t="n"/>
      <c r="F1106" s="19" t="n"/>
      <c r="G1106" s="19" t="n"/>
      <c r="H1106" s="19" t="n"/>
    </row>
    <row r="1107">
      <c r="A1107" s="19" t="n"/>
      <c r="B1107" s="19" t="n"/>
      <c r="C1107" s="19" t="n"/>
      <c r="D1107" s="19" t="n"/>
      <c r="E1107" s="19" t="n"/>
      <c r="F1107" s="19" t="n"/>
      <c r="G1107" s="19" t="n"/>
      <c r="H1107" s="19" t="n"/>
    </row>
    <row r="1108">
      <c r="A1108" s="19" t="n"/>
      <c r="B1108" s="19" t="n"/>
      <c r="C1108" s="19" t="n"/>
      <c r="D1108" s="19" t="n"/>
      <c r="E1108" s="19" t="n"/>
      <c r="F1108" s="19" t="n"/>
      <c r="G1108" s="19" t="n"/>
      <c r="H1108" s="19" t="n"/>
    </row>
    <row r="110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</row>
    <row r="1110">
      <c r="A1110" s="19" t="n"/>
      <c r="B1110" s="19" t="n"/>
      <c r="C1110" s="19" t="n"/>
      <c r="D1110" s="19" t="n"/>
      <c r="E1110" s="19" t="n"/>
      <c r="F1110" s="19" t="n"/>
      <c r="G1110" s="19" t="n"/>
      <c r="H1110" s="19" t="n"/>
    </row>
    <row r="1111">
      <c r="A1111" s="19" t="n"/>
      <c r="B1111" s="19" t="n"/>
      <c r="C1111" s="19" t="n"/>
      <c r="D1111" s="19" t="n"/>
      <c r="E1111" s="19" t="n"/>
      <c r="F1111" s="19" t="n"/>
      <c r="G1111" s="19" t="n"/>
      <c r="H1111" s="19" t="n"/>
    </row>
    <row r="1112">
      <c r="A1112" s="19" t="n"/>
      <c r="B1112" s="19" t="n"/>
      <c r="C1112" s="19" t="n"/>
      <c r="D1112" s="19" t="n"/>
      <c r="E1112" s="19" t="n"/>
      <c r="F1112" s="19" t="n"/>
      <c r="G1112" s="19" t="n"/>
      <c r="H1112" s="19" t="n"/>
    </row>
    <row r="1113">
      <c r="A1113" s="19" t="n"/>
      <c r="B1113" s="19" t="n"/>
      <c r="C1113" s="19" t="n"/>
      <c r="D1113" s="19" t="n"/>
      <c r="E1113" s="19" t="n"/>
      <c r="F1113" s="19" t="n"/>
      <c r="G1113" s="19" t="n"/>
      <c r="H1113" s="19" t="n"/>
    </row>
    <row r="1114">
      <c r="A1114" s="19" t="n"/>
      <c r="B1114" s="19" t="n"/>
      <c r="C1114" s="19" t="n"/>
      <c r="D1114" s="19" t="n"/>
      <c r="E1114" s="19" t="n"/>
      <c r="F1114" s="19" t="n"/>
      <c r="G1114" s="19" t="n"/>
      <c r="H1114" s="19" t="n"/>
    </row>
    <row r="1115">
      <c r="A1115" s="19" t="n"/>
      <c r="B1115" s="19" t="n"/>
      <c r="C1115" s="19" t="n"/>
      <c r="D1115" s="19" t="n"/>
      <c r="E1115" s="19" t="n"/>
      <c r="F1115" s="19" t="n"/>
      <c r="G1115" s="19" t="n"/>
      <c r="H1115" s="19" t="n"/>
    </row>
    <row r="1116">
      <c r="A1116" s="19" t="n"/>
      <c r="B1116" s="19" t="n"/>
      <c r="C1116" s="19" t="n"/>
      <c r="D1116" s="19" t="n"/>
      <c r="E1116" s="19" t="n"/>
      <c r="F1116" s="19" t="n"/>
      <c r="G1116" s="19" t="n"/>
      <c r="H1116" s="19" t="n"/>
    </row>
    <row r="1117">
      <c r="A1117" s="19" t="n"/>
      <c r="B1117" s="19" t="n"/>
      <c r="C1117" s="19" t="n"/>
      <c r="D1117" s="19" t="n"/>
      <c r="E1117" s="19" t="n"/>
      <c r="F1117" s="19" t="n"/>
      <c r="G1117" s="19" t="n"/>
      <c r="H1117" s="19" t="n"/>
    </row>
    <row r="1118">
      <c r="A1118" s="19" t="n"/>
      <c r="B1118" s="19" t="n"/>
      <c r="C1118" s="19" t="n"/>
      <c r="D1118" s="19" t="n"/>
      <c r="E1118" s="19" t="n"/>
      <c r="F1118" s="19" t="n"/>
      <c r="G1118" s="19" t="n"/>
      <c r="H1118" s="19" t="n"/>
    </row>
    <row r="111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</row>
    <row r="1120">
      <c r="A1120" s="19" t="n"/>
      <c r="B1120" s="19" t="n"/>
      <c r="C1120" s="19" t="n"/>
      <c r="D1120" s="19" t="n"/>
      <c r="E1120" s="19" t="n"/>
      <c r="F1120" s="19" t="n"/>
      <c r="G1120" s="19" t="n"/>
      <c r="H1120" s="19" t="n"/>
    </row>
    <row r="1121">
      <c r="A1121" s="19" t="n"/>
      <c r="B1121" s="19" t="n"/>
      <c r="C1121" s="19" t="n"/>
      <c r="D1121" s="19" t="n"/>
      <c r="E1121" s="19" t="n"/>
      <c r="F1121" s="19" t="n"/>
      <c r="G1121" s="19" t="n"/>
      <c r="H1121" s="19" t="n"/>
    </row>
    <row r="1122">
      <c r="A1122" s="19" t="n"/>
      <c r="B1122" s="19" t="n"/>
      <c r="C1122" s="19" t="n"/>
      <c r="D1122" s="19" t="n"/>
      <c r="E1122" s="19" t="n"/>
      <c r="F1122" s="19" t="n"/>
      <c r="G1122" s="19" t="n"/>
      <c r="H1122" s="19" t="n"/>
    </row>
    <row r="1123">
      <c r="A1123" s="19" t="n"/>
      <c r="B1123" s="19" t="n"/>
      <c r="C1123" s="19" t="n"/>
      <c r="D1123" s="19" t="n"/>
      <c r="E1123" s="19" t="n"/>
      <c r="F1123" s="19" t="n"/>
      <c r="G1123" s="19" t="n"/>
      <c r="H1123" s="19" t="n"/>
    </row>
    <row r="1124">
      <c r="A1124" s="19" t="n"/>
      <c r="B1124" s="19" t="n"/>
      <c r="C1124" s="19" t="n"/>
      <c r="D1124" s="19" t="n"/>
      <c r="E1124" s="19" t="n"/>
      <c r="F1124" s="19" t="n"/>
      <c r="G1124" s="19" t="n"/>
      <c r="H1124" s="19" t="n"/>
    </row>
    <row r="1125">
      <c r="A1125" s="19" t="n"/>
      <c r="B1125" s="19" t="n"/>
      <c r="C1125" s="19" t="n"/>
      <c r="D1125" s="19" t="n"/>
      <c r="E1125" s="19" t="n"/>
      <c r="F1125" s="19" t="n"/>
      <c r="G1125" s="19" t="n"/>
      <c r="H1125" s="19" t="n"/>
    </row>
    <row r="1126">
      <c r="A1126" s="19" t="n"/>
      <c r="B1126" s="19" t="n"/>
      <c r="C1126" s="19" t="n"/>
      <c r="D1126" s="19" t="n"/>
      <c r="E1126" s="19" t="n"/>
      <c r="F1126" s="19" t="n"/>
      <c r="G1126" s="19" t="n"/>
      <c r="H1126" s="19" t="n"/>
    </row>
    <row r="1127">
      <c r="A1127" s="19" t="n"/>
      <c r="B1127" s="19" t="n"/>
      <c r="C1127" s="19" t="n"/>
      <c r="D1127" s="19" t="n"/>
      <c r="E1127" s="19" t="n"/>
      <c r="F1127" s="19" t="n"/>
      <c r="G1127" s="19" t="n"/>
      <c r="H1127" s="19" t="n"/>
    </row>
    <row r="1128">
      <c r="A1128" s="19" t="n"/>
      <c r="B1128" s="19" t="n"/>
      <c r="C1128" s="19" t="n"/>
      <c r="D1128" s="19" t="n"/>
      <c r="E1128" s="19" t="n"/>
      <c r="F1128" s="19" t="n"/>
      <c r="G1128" s="19" t="n"/>
      <c r="H1128" s="19" t="n"/>
    </row>
    <row r="112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</row>
    <row r="1130">
      <c r="A1130" s="19" t="n"/>
      <c r="B1130" s="19" t="n"/>
      <c r="C1130" s="19" t="n"/>
      <c r="D1130" s="19" t="n"/>
      <c r="E1130" s="19" t="n"/>
      <c r="F1130" s="19" t="n"/>
      <c r="G1130" s="19" t="n"/>
      <c r="H1130" s="19" t="n"/>
    </row>
    <row r="1131">
      <c r="A1131" s="19" t="n"/>
      <c r="B1131" s="19" t="n"/>
      <c r="C1131" s="19" t="n"/>
      <c r="D1131" s="19" t="n"/>
      <c r="E1131" s="19" t="n"/>
      <c r="F1131" s="19" t="n"/>
      <c r="G1131" s="19" t="n"/>
      <c r="H1131" s="19" t="n"/>
    </row>
    <row r="1132">
      <c r="A1132" s="19" t="n"/>
      <c r="B1132" s="19" t="n"/>
      <c r="C1132" s="19" t="n"/>
      <c r="D1132" s="19" t="n"/>
      <c r="E1132" s="19" t="n"/>
      <c r="F1132" s="19" t="n"/>
      <c r="G1132" s="19" t="n"/>
      <c r="H1132" s="19" t="n"/>
    </row>
    <row r="1133">
      <c r="A1133" s="19" t="n"/>
      <c r="B1133" s="19" t="n"/>
      <c r="C1133" s="19" t="n"/>
      <c r="D1133" s="19" t="n"/>
      <c r="E1133" s="19" t="n"/>
      <c r="F1133" s="19" t="n"/>
      <c r="G1133" s="19" t="n"/>
      <c r="H1133" s="19" t="n"/>
    </row>
    <row r="1134">
      <c r="A1134" s="19" t="n"/>
      <c r="B1134" s="19" t="n"/>
      <c r="C1134" s="19" t="n"/>
      <c r="D1134" s="19" t="n"/>
      <c r="E1134" s="19" t="n"/>
      <c r="F1134" s="19" t="n"/>
      <c r="G1134" s="19" t="n"/>
      <c r="H1134" s="19" t="n"/>
    </row>
    <row r="1135">
      <c r="A1135" s="19" t="n"/>
      <c r="B1135" s="19" t="n"/>
      <c r="C1135" s="19" t="n"/>
      <c r="D1135" s="19" t="n"/>
      <c r="E1135" s="19" t="n"/>
      <c r="F1135" s="19" t="n"/>
      <c r="G1135" s="19" t="n"/>
      <c r="H1135" s="19" t="n"/>
    </row>
    <row r="1136">
      <c r="A1136" s="19" t="n"/>
      <c r="B1136" s="19" t="n"/>
      <c r="C1136" s="19" t="n"/>
      <c r="D1136" s="19" t="n"/>
      <c r="E1136" s="19" t="n"/>
      <c r="F1136" s="19" t="n"/>
      <c r="G1136" s="19" t="n"/>
      <c r="H1136" s="19" t="n"/>
    </row>
    <row r="1137">
      <c r="A1137" s="19" t="n"/>
      <c r="B1137" s="19" t="n"/>
      <c r="C1137" s="19" t="n"/>
      <c r="D1137" s="19" t="n"/>
      <c r="E1137" s="19" t="n"/>
      <c r="F1137" s="19" t="n"/>
      <c r="G1137" s="19" t="n"/>
      <c r="H1137" s="19" t="n"/>
    </row>
    <row r="1138">
      <c r="A1138" s="19" t="n"/>
      <c r="B1138" s="19" t="n"/>
      <c r="C1138" s="19" t="n"/>
      <c r="D1138" s="19" t="n"/>
      <c r="E1138" s="19" t="n"/>
      <c r="F1138" s="19" t="n"/>
      <c r="G1138" s="19" t="n"/>
      <c r="H1138" s="19" t="n"/>
    </row>
    <row r="11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</row>
    <row r="1140">
      <c r="A1140" s="19" t="n"/>
      <c r="B1140" s="19" t="n"/>
      <c r="C1140" s="19" t="n"/>
      <c r="D1140" s="19" t="n"/>
      <c r="E1140" s="19" t="n"/>
      <c r="F1140" s="19" t="n"/>
      <c r="G1140" s="19" t="n"/>
      <c r="H1140" s="19" t="n"/>
    </row>
    <row r="1141">
      <c r="A1141" s="19" t="n"/>
      <c r="B1141" s="19" t="n"/>
      <c r="C1141" s="19" t="n"/>
      <c r="D1141" s="19" t="n"/>
      <c r="E1141" s="19" t="n"/>
      <c r="F1141" s="19" t="n"/>
      <c r="G1141" s="19" t="n"/>
      <c r="H1141" s="19" t="n"/>
    </row>
    <row r="1142">
      <c r="A1142" s="19" t="n"/>
      <c r="B1142" s="19" t="n"/>
      <c r="C1142" s="19" t="n"/>
      <c r="D1142" s="19" t="n"/>
      <c r="E1142" s="19" t="n"/>
      <c r="F1142" s="19" t="n"/>
      <c r="G1142" s="19" t="n"/>
      <c r="H1142" s="19" t="n"/>
    </row>
    <row r="1143">
      <c r="A1143" s="19" t="n"/>
      <c r="B1143" s="19" t="n"/>
      <c r="C1143" s="19" t="n"/>
      <c r="D1143" s="19" t="n"/>
      <c r="E1143" s="19" t="n"/>
      <c r="F1143" s="19" t="n"/>
      <c r="G1143" s="19" t="n"/>
      <c r="H1143" s="19" t="n"/>
    </row>
    <row r="1144">
      <c r="A1144" s="19" t="n"/>
      <c r="B1144" s="19" t="n"/>
      <c r="C1144" s="19" t="n"/>
      <c r="D1144" s="19" t="n"/>
      <c r="E1144" s="19" t="n"/>
      <c r="F1144" s="19" t="n"/>
      <c r="G1144" s="19" t="n"/>
      <c r="H1144" s="19" t="n"/>
    </row>
    <row r="1145">
      <c r="A1145" s="19" t="n"/>
      <c r="B1145" s="19" t="n"/>
      <c r="C1145" s="19" t="n"/>
      <c r="D1145" s="19" t="n"/>
      <c r="E1145" s="19" t="n"/>
      <c r="F1145" s="19" t="n"/>
      <c r="G1145" s="19" t="n"/>
      <c r="H1145" s="19" t="n"/>
    </row>
    <row r="1146">
      <c r="A1146" s="19" t="n"/>
      <c r="B1146" s="19" t="n"/>
      <c r="C1146" s="19" t="n"/>
      <c r="D1146" s="19" t="n"/>
      <c r="E1146" s="19" t="n"/>
      <c r="F1146" s="19" t="n"/>
      <c r="G1146" s="19" t="n"/>
      <c r="H1146" s="19" t="n"/>
    </row>
    <row r="1147">
      <c r="A1147" s="19" t="n"/>
      <c r="B1147" s="19" t="n"/>
      <c r="C1147" s="19" t="n"/>
      <c r="D1147" s="19" t="n"/>
      <c r="E1147" s="19" t="n"/>
      <c r="F1147" s="19" t="n"/>
      <c r="G1147" s="19" t="n"/>
      <c r="H1147" s="19" t="n"/>
    </row>
    <row r="1148">
      <c r="A1148" s="19" t="n"/>
      <c r="B1148" s="19" t="n"/>
      <c r="C1148" s="19" t="n"/>
      <c r="D1148" s="19" t="n"/>
      <c r="E1148" s="19" t="n"/>
      <c r="F1148" s="19" t="n"/>
      <c r="G1148" s="19" t="n"/>
      <c r="H1148" s="19" t="n"/>
    </row>
    <row r="114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</row>
    <row r="1150">
      <c r="A1150" s="19" t="n"/>
      <c r="B1150" s="19" t="n"/>
      <c r="C1150" s="19" t="n"/>
      <c r="D1150" s="19" t="n"/>
      <c r="E1150" s="19" t="n"/>
      <c r="F1150" s="19" t="n"/>
      <c r="G1150" s="19" t="n"/>
      <c r="H1150" s="19" t="n"/>
    </row>
    <row r="1151">
      <c r="A1151" s="19" t="n"/>
      <c r="B1151" s="19" t="n"/>
      <c r="C1151" s="19" t="n"/>
      <c r="D1151" s="19" t="n"/>
      <c r="E1151" s="19" t="n"/>
      <c r="F1151" s="19" t="n"/>
      <c r="G1151" s="19" t="n"/>
      <c r="H1151" s="19" t="n"/>
    </row>
    <row r="1152">
      <c r="A1152" s="19" t="n"/>
      <c r="B1152" s="19" t="n"/>
      <c r="C1152" s="19" t="n"/>
      <c r="D1152" s="19" t="n"/>
      <c r="E1152" s="19" t="n"/>
      <c r="F1152" s="19" t="n"/>
      <c r="G1152" s="19" t="n"/>
      <c r="H1152" s="19" t="n"/>
    </row>
    <row r="1153">
      <c r="A1153" s="19" t="n"/>
      <c r="B1153" s="19" t="n"/>
      <c r="C1153" s="19" t="n"/>
      <c r="D1153" s="19" t="n"/>
      <c r="E1153" s="19" t="n"/>
      <c r="F1153" s="19" t="n"/>
      <c r="G1153" s="19" t="n"/>
      <c r="H1153" s="19" t="n"/>
    </row>
    <row r="1154">
      <c r="A1154" s="19" t="n"/>
      <c r="B1154" s="19" t="n"/>
      <c r="C1154" s="19" t="n"/>
      <c r="D1154" s="19" t="n"/>
      <c r="E1154" s="19" t="n"/>
      <c r="F1154" s="19" t="n"/>
      <c r="G1154" s="19" t="n"/>
      <c r="H1154" s="19" t="n"/>
    </row>
    <row r="1155">
      <c r="A1155" s="19" t="n"/>
      <c r="B1155" s="19" t="n"/>
      <c r="C1155" s="19" t="n"/>
      <c r="D1155" s="19" t="n"/>
      <c r="E1155" s="19" t="n"/>
      <c r="F1155" s="19" t="n"/>
      <c r="G1155" s="19" t="n"/>
      <c r="H1155" s="19" t="n"/>
    </row>
    <row r="1156">
      <c r="A1156" s="19" t="n"/>
      <c r="B1156" s="19" t="n"/>
      <c r="C1156" s="19" t="n"/>
      <c r="D1156" s="19" t="n"/>
      <c r="E1156" s="19" t="n"/>
      <c r="F1156" s="19" t="n"/>
      <c r="G1156" s="19" t="n"/>
      <c r="H1156" s="19" t="n"/>
    </row>
    <row r="1157">
      <c r="A1157" s="19" t="n"/>
      <c r="B1157" s="19" t="n"/>
      <c r="C1157" s="19" t="n"/>
      <c r="D1157" s="19" t="n"/>
      <c r="E1157" s="19" t="n"/>
      <c r="F1157" s="19" t="n"/>
      <c r="G1157" s="19" t="n"/>
      <c r="H1157" s="19" t="n"/>
    </row>
    <row r="1158">
      <c r="A1158" s="19" t="n"/>
      <c r="B1158" s="19" t="n"/>
      <c r="C1158" s="19" t="n"/>
      <c r="D1158" s="19" t="n"/>
      <c r="E1158" s="19" t="n"/>
      <c r="F1158" s="19" t="n"/>
      <c r="G1158" s="19" t="n"/>
      <c r="H1158" s="19" t="n"/>
    </row>
    <row r="115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</row>
    <row r="1160">
      <c r="A1160" s="19" t="n"/>
      <c r="B1160" s="19" t="n"/>
      <c r="C1160" s="19" t="n"/>
      <c r="D1160" s="19" t="n"/>
      <c r="E1160" s="19" t="n"/>
      <c r="F1160" s="19" t="n"/>
      <c r="G1160" s="19" t="n"/>
      <c r="H1160" s="19" t="n"/>
    </row>
    <row r="1161">
      <c r="A1161" s="19" t="n"/>
      <c r="B1161" s="19" t="n"/>
      <c r="C1161" s="19" t="n"/>
      <c r="D1161" s="19" t="n"/>
      <c r="E1161" s="19" t="n"/>
      <c r="F1161" s="19" t="n"/>
      <c r="G1161" s="19" t="n"/>
      <c r="H1161" s="19" t="n"/>
    </row>
    <row r="1162">
      <c r="A1162" s="19" t="n"/>
      <c r="B1162" s="19" t="n"/>
      <c r="C1162" s="19" t="n"/>
      <c r="D1162" s="19" t="n"/>
      <c r="E1162" s="19" t="n"/>
      <c r="F1162" s="19" t="n"/>
      <c r="G1162" s="19" t="n"/>
      <c r="H1162" s="19" t="n"/>
    </row>
    <row r="1163">
      <c r="A1163" s="19" t="n"/>
      <c r="B1163" s="19" t="n"/>
      <c r="C1163" s="19" t="n"/>
      <c r="D1163" s="19" t="n"/>
      <c r="E1163" s="19" t="n"/>
      <c r="F1163" s="19" t="n"/>
      <c r="G1163" s="19" t="n"/>
      <c r="H1163" s="19" t="n"/>
    </row>
    <row r="1164">
      <c r="A1164" s="19" t="n"/>
      <c r="B1164" s="19" t="n"/>
      <c r="C1164" s="19" t="n"/>
      <c r="D1164" s="19" t="n"/>
      <c r="E1164" s="19" t="n"/>
      <c r="F1164" s="19" t="n"/>
      <c r="G1164" s="19" t="n"/>
      <c r="H1164" s="19" t="n"/>
    </row>
    <row r="1165">
      <c r="A1165" s="19" t="n"/>
      <c r="B1165" s="19" t="n"/>
      <c r="C1165" s="19" t="n"/>
      <c r="D1165" s="19" t="n"/>
      <c r="E1165" s="19" t="n"/>
      <c r="F1165" s="19" t="n"/>
      <c r="G1165" s="19" t="n"/>
      <c r="H1165" s="19" t="n"/>
    </row>
    <row r="1166">
      <c r="A1166" s="19" t="n"/>
      <c r="B1166" s="19" t="n"/>
      <c r="C1166" s="19" t="n"/>
      <c r="D1166" s="19" t="n"/>
      <c r="E1166" s="19" t="n"/>
      <c r="F1166" s="19" t="n"/>
      <c r="G1166" s="19" t="n"/>
      <c r="H1166" s="19" t="n"/>
    </row>
    <row r="1167">
      <c r="A1167" s="19" t="n"/>
      <c r="B1167" s="19" t="n"/>
      <c r="C1167" s="19" t="n"/>
      <c r="D1167" s="19" t="n"/>
      <c r="E1167" s="19" t="n"/>
      <c r="F1167" s="19" t="n"/>
      <c r="G1167" s="19" t="n"/>
      <c r="H1167" s="19" t="n"/>
    </row>
    <row r="1168">
      <c r="A1168" s="19" t="n"/>
      <c r="B1168" s="19" t="n"/>
      <c r="C1168" s="19" t="n"/>
      <c r="D1168" s="19" t="n"/>
      <c r="E1168" s="19" t="n"/>
      <c r="F1168" s="19" t="n"/>
      <c r="G1168" s="19" t="n"/>
      <c r="H1168" s="19" t="n"/>
    </row>
    <row r="116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</row>
    <row r="1170">
      <c r="A1170" s="19" t="n"/>
      <c r="B1170" s="19" t="n"/>
      <c r="C1170" s="19" t="n"/>
      <c r="D1170" s="19" t="n"/>
      <c r="E1170" s="19" t="n"/>
      <c r="F1170" s="19" t="n"/>
      <c r="G1170" s="19" t="n"/>
      <c r="H1170" s="19" t="n"/>
    </row>
    <row r="1171">
      <c r="A1171" s="19" t="n"/>
      <c r="B1171" s="19" t="n"/>
      <c r="C1171" s="19" t="n"/>
      <c r="D1171" s="19" t="n"/>
      <c r="E1171" s="19" t="n"/>
      <c r="F1171" s="19" t="n"/>
      <c r="G1171" s="19" t="n"/>
      <c r="H1171" s="19" t="n"/>
    </row>
    <row r="1172">
      <c r="A1172" s="19" t="n"/>
      <c r="B1172" s="19" t="n"/>
      <c r="C1172" s="19" t="n"/>
      <c r="D1172" s="19" t="n"/>
      <c r="E1172" s="19" t="n"/>
      <c r="F1172" s="19" t="n"/>
      <c r="G1172" s="19" t="n"/>
      <c r="H1172" s="19" t="n"/>
    </row>
    <row r="1173">
      <c r="A1173" s="19" t="n"/>
      <c r="B1173" s="19" t="n"/>
      <c r="C1173" s="19" t="n"/>
      <c r="D1173" s="19" t="n"/>
      <c r="E1173" s="19" t="n"/>
      <c r="F1173" s="19" t="n"/>
      <c r="G1173" s="19" t="n"/>
      <c r="H1173" s="19" t="n"/>
    </row>
    <row r="1174">
      <c r="A1174" s="19" t="n"/>
      <c r="B1174" s="19" t="n"/>
      <c r="C1174" s="19" t="n"/>
      <c r="D1174" s="19" t="n"/>
      <c r="E1174" s="19" t="n"/>
      <c r="F1174" s="19" t="n"/>
      <c r="G1174" s="19" t="n"/>
      <c r="H1174" s="19" t="n"/>
    </row>
    <row r="1175">
      <c r="A1175" s="19" t="n"/>
      <c r="B1175" s="19" t="n"/>
      <c r="C1175" s="19" t="n"/>
      <c r="D1175" s="19" t="n"/>
      <c r="E1175" s="19" t="n"/>
      <c r="F1175" s="19" t="n"/>
      <c r="G1175" s="19" t="n"/>
      <c r="H1175" s="19" t="n"/>
    </row>
    <row r="1176">
      <c r="A1176" s="19" t="n"/>
      <c r="B1176" s="19" t="n"/>
      <c r="C1176" s="19" t="n"/>
      <c r="D1176" s="19" t="n"/>
      <c r="E1176" s="19" t="n"/>
      <c r="F1176" s="19" t="n"/>
      <c r="G1176" s="19" t="n"/>
      <c r="H1176" s="19" t="n"/>
    </row>
    <row r="1177">
      <c r="A1177" s="19" t="n"/>
      <c r="B1177" s="19" t="n"/>
      <c r="C1177" s="19" t="n"/>
      <c r="D1177" s="19" t="n"/>
      <c r="E1177" s="19" t="n"/>
      <c r="F1177" s="19" t="n"/>
      <c r="G1177" s="19" t="n"/>
      <c r="H1177" s="19" t="n"/>
    </row>
    <row r="1178">
      <c r="A1178" s="19" t="n"/>
      <c r="B1178" s="19" t="n"/>
      <c r="C1178" s="19" t="n"/>
      <c r="D1178" s="19" t="n"/>
      <c r="E1178" s="19" t="n"/>
      <c r="F1178" s="19" t="n"/>
      <c r="G1178" s="19" t="n"/>
      <c r="H1178" s="19" t="n"/>
    </row>
    <row r="117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</row>
    <row r="1180">
      <c r="A1180" s="19" t="n"/>
      <c r="B1180" s="19" t="n"/>
      <c r="C1180" s="19" t="n"/>
      <c r="D1180" s="19" t="n"/>
      <c r="E1180" s="19" t="n"/>
      <c r="F1180" s="19" t="n"/>
      <c r="G1180" s="19" t="n"/>
      <c r="H1180" s="19" t="n"/>
    </row>
    <row r="1181">
      <c r="A1181" s="19" t="n"/>
      <c r="B1181" s="19" t="n"/>
      <c r="C1181" s="19" t="n"/>
      <c r="D1181" s="19" t="n"/>
      <c r="E1181" s="19" t="n"/>
      <c r="F1181" s="19" t="n"/>
      <c r="G1181" s="19" t="n"/>
      <c r="H1181" s="19" t="n"/>
    </row>
    <row r="1182">
      <c r="A1182" s="19" t="n"/>
      <c r="B1182" s="19" t="n"/>
      <c r="C1182" s="19" t="n"/>
      <c r="D1182" s="19" t="n"/>
      <c r="E1182" s="19" t="n"/>
      <c r="F1182" s="19" t="n"/>
      <c r="G1182" s="19" t="n"/>
      <c r="H1182" s="19" t="n"/>
    </row>
    <row r="1183">
      <c r="A1183" s="19" t="n"/>
      <c r="B1183" s="19" t="n"/>
      <c r="C1183" s="19" t="n"/>
      <c r="D1183" s="19" t="n"/>
      <c r="E1183" s="19" t="n"/>
      <c r="F1183" s="19" t="n"/>
      <c r="G1183" s="19" t="n"/>
      <c r="H1183" s="19" t="n"/>
    </row>
    <row r="1184">
      <c r="A1184" s="19" t="n"/>
      <c r="B1184" s="19" t="n"/>
      <c r="C1184" s="19" t="n"/>
      <c r="D1184" s="19" t="n"/>
      <c r="E1184" s="19" t="n"/>
      <c r="F1184" s="19" t="n"/>
      <c r="G1184" s="19" t="n"/>
      <c r="H1184" s="19" t="n"/>
    </row>
    <row r="1185">
      <c r="A1185" s="19" t="n"/>
      <c r="B1185" s="19" t="n"/>
      <c r="C1185" s="19" t="n"/>
      <c r="D1185" s="19" t="n"/>
      <c r="E1185" s="19" t="n"/>
      <c r="F1185" s="19" t="n"/>
      <c r="G1185" s="19" t="n"/>
      <c r="H1185" s="19" t="n"/>
    </row>
    <row r="1186">
      <c r="A1186" s="19" t="n"/>
      <c r="B1186" s="19" t="n"/>
      <c r="C1186" s="19" t="n"/>
      <c r="D1186" s="19" t="n"/>
      <c r="E1186" s="19" t="n"/>
      <c r="F1186" s="19" t="n"/>
      <c r="G1186" s="19" t="n"/>
      <c r="H1186" s="19" t="n"/>
    </row>
    <row r="1187">
      <c r="A1187" s="19" t="n"/>
      <c r="B1187" s="19" t="n"/>
      <c r="C1187" s="19" t="n"/>
      <c r="D1187" s="19" t="n"/>
      <c r="E1187" s="19" t="n"/>
      <c r="F1187" s="19" t="n"/>
      <c r="G1187" s="19" t="n"/>
      <c r="H1187" s="19" t="n"/>
    </row>
    <row r="1188">
      <c r="A1188" s="19" t="n"/>
      <c r="B1188" s="19" t="n"/>
      <c r="C1188" s="19" t="n"/>
      <c r="D1188" s="19" t="n"/>
      <c r="E1188" s="19" t="n"/>
      <c r="F1188" s="19" t="n"/>
      <c r="G1188" s="19" t="n"/>
      <c r="H1188" s="19" t="n"/>
    </row>
    <row r="118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</row>
    <row r="1190">
      <c r="A1190" s="19" t="n"/>
      <c r="B1190" s="19" t="n"/>
      <c r="C1190" s="19" t="n"/>
      <c r="D1190" s="19" t="n"/>
      <c r="E1190" s="19" t="n"/>
      <c r="F1190" s="19" t="n"/>
      <c r="G1190" s="19" t="n"/>
      <c r="H1190" s="19" t="n"/>
    </row>
    <row r="1191">
      <c r="A1191" s="19" t="n"/>
      <c r="B1191" s="19" t="n"/>
      <c r="C1191" s="19" t="n"/>
      <c r="D1191" s="19" t="n"/>
      <c r="E1191" s="19" t="n"/>
      <c r="F1191" s="19" t="n"/>
      <c r="G1191" s="19" t="n"/>
      <c r="H1191" s="19" t="n"/>
    </row>
    <row r="1192">
      <c r="A1192" s="19" t="n"/>
      <c r="B1192" s="19" t="n"/>
      <c r="C1192" s="19" t="n"/>
      <c r="D1192" s="19" t="n"/>
      <c r="E1192" s="19" t="n"/>
      <c r="F1192" s="19" t="n"/>
      <c r="G1192" s="19" t="n"/>
      <c r="H1192" s="19" t="n"/>
    </row>
    <row r="1193">
      <c r="A1193" s="19" t="n"/>
      <c r="B1193" s="19" t="n"/>
      <c r="C1193" s="19" t="n"/>
      <c r="D1193" s="19" t="n"/>
      <c r="E1193" s="19" t="n"/>
      <c r="F1193" s="19" t="n"/>
      <c r="G1193" s="19" t="n"/>
      <c r="H1193" s="19" t="n"/>
    </row>
    <row r="1194">
      <c r="A1194" s="19" t="n"/>
      <c r="B1194" s="19" t="n"/>
      <c r="C1194" s="19" t="n"/>
      <c r="D1194" s="19" t="n"/>
      <c r="E1194" s="19" t="n"/>
      <c r="F1194" s="19" t="n"/>
      <c r="G1194" s="19" t="n"/>
      <c r="H1194" s="19" t="n"/>
    </row>
    <row r="1195">
      <c r="A1195" s="19" t="n"/>
      <c r="B1195" s="19" t="n"/>
      <c r="C1195" s="19" t="n"/>
      <c r="D1195" s="19" t="n"/>
      <c r="E1195" s="19" t="n"/>
      <c r="F1195" s="19" t="n"/>
      <c r="G1195" s="19" t="n"/>
      <c r="H1195" s="19" t="n"/>
    </row>
    <row r="1196">
      <c r="A1196" s="19" t="n"/>
      <c r="B1196" s="19" t="n"/>
      <c r="C1196" s="19" t="n"/>
      <c r="D1196" s="19" t="n"/>
      <c r="E1196" s="19" t="n"/>
      <c r="F1196" s="19" t="n"/>
      <c r="G1196" s="19" t="n"/>
      <c r="H1196" s="19" t="n"/>
    </row>
    <row r="1197">
      <c r="A1197" s="19" t="n"/>
      <c r="B1197" s="19" t="n"/>
      <c r="C1197" s="19" t="n"/>
      <c r="D1197" s="19" t="n"/>
      <c r="E1197" s="19" t="n"/>
      <c r="F1197" s="19" t="n"/>
      <c r="G1197" s="19" t="n"/>
      <c r="H1197" s="19" t="n"/>
    </row>
    <row r="1198">
      <c r="A1198" s="19" t="n"/>
      <c r="B1198" s="19" t="n"/>
      <c r="C1198" s="19" t="n"/>
      <c r="D1198" s="19" t="n"/>
      <c r="E1198" s="19" t="n"/>
      <c r="F1198" s="19" t="n"/>
      <c r="G1198" s="19" t="n"/>
      <c r="H1198" s="19" t="n"/>
    </row>
    <row r="119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</row>
    <row r="1200">
      <c r="A1200" s="19" t="n"/>
      <c r="B1200" s="19" t="n"/>
      <c r="C1200" s="19" t="n"/>
      <c r="D1200" s="19" t="n"/>
      <c r="E1200" s="19" t="n"/>
      <c r="F1200" s="19" t="n"/>
      <c r="G1200" s="19" t="n"/>
      <c r="H1200" s="19" t="n"/>
    </row>
    <row r="1201">
      <c r="A1201" s="19" t="n"/>
      <c r="B1201" s="19" t="n"/>
      <c r="C1201" s="19" t="n"/>
      <c r="D1201" s="19" t="n"/>
      <c r="E1201" s="19" t="n"/>
      <c r="F1201" s="19" t="n"/>
      <c r="G1201" s="19" t="n"/>
      <c r="H1201" s="19" t="n"/>
    </row>
    <row r="1202">
      <c r="A1202" s="19" t="n"/>
      <c r="B1202" s="19" t="n"/>
      <c r="C1202" s="19" t="n"/>
      <c r="D1202" s="19" t="n"/>
      <c r="E1202" s="19" t="n"/>
      <c r="F1202" s="19" t="n"/>
      <c r="G1202" s="19" t="n"/>
      <c r="H1202" s="19" t="n"/>
    </row>
    <row r="1203">
      <c r="A1203" s="19" t="n"/>
      <c r="B1203" s="19" t="n"/>
      <c r="C1203" s="19" t="n"/>
      <c r="D1203" s="19" t="n"/>
      <c r="E1203" s="19" t="n"/>
      <c r="F1203" s="19" t="n"/>
      <c r="G1203" s="19" t="n"/>
      <c r="H1203" s="19" t="n"/>
    </row>
    <row r="1204">
      <c r="A1204" s="19" t="n"/>
      <c r="B1204" s="19" t="n"/>
      <c r="C1204" s="19" t="n"/>
      <c r="D1204" s="19" t="n"/>
      <c r="E1204" s="19" t="n"/>
      <c r="F1204" s="19" t="n"/>
      <c r="G1204" s="19" t="n"/>
      <c r="H1204" s="19" t="n"/>
    </row>
    <row r="1205">
      <c r="A1205" s="19" t="n"/>
      <c r="B1205" s="19" t="n"/>
      <c r="C1205" s="19" t="n"/>
      <c r="D1205" s="19" t="n"/>
      <c r="E1205" s="19" t="n"/>
      <c r="F1205" s="19" t="n"/>
      <c r="G1205" s="19" t="n"/>
      <c r="H1205" s="19" t="n"/>
    </row>
    <row r="1206">
      <c r="A1206" s="19" t="n"/>
      <c r="B1206" s="19" t="n"/>
      <c r="C1206" s="19" t="n"/>
      <c r="D1206" s="19" t="n"/>
      <c r="E1206" s="19" t="n"/>
      <c r="F1206" s="19" t="n"/>
      <c r="G1206" s="19" t="n"/>
      <c r="H1206" s="19" t="n"/>
    </row>
    <row r="1207">
      <c r="A1207" s="19" t="n"/>
      <c r="B1207" s="19" t="n"/>
      <c r="C1207" s="19" t="n"/>
      <c r="D1207" s="19" t="n"/>
      <c r="E1207" s="19" t="n"/>
      <c r="F1207" s="19" t="n"/>
      <c r="G1207" s="19" t="n"/>
      <c r="H1207" s="19" t="n"/>
    </row>
    <row r="1208">
      <c r="A1208" s="19" t="n"/>
      <c r="B1208" s="19" t="n"/>
      <c r="C1208" s="19" t="n"/>
      <c r="D1208" s="19" t="n"/>
      <c r="E1208" s="19" t="n"/>
      <c r="F1208" s="19" t="n"/>
      <c r="G1208" s="19" t="n"/>
      <c r="H1208" s="19" t="n"/>
    </row>
    <row r="120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</row>
    <row r="1210">
      <c r="A1210" s="19" t="n"/>
      <c r="B1210" s="19" t="n"/>
      <c r="C1210" s="19" t="n"/>
      <c r="D1210" s="19" t="n"/>
      <c r="E1210" s="19" t="n"/>
      <c r="F1210" s="19" t="n"/>
      <c r="G1210" s="19" t="n"/>
      <c r="H1210" s="19" t="n"/>
    </row>
    <row r="1211">
      <c r="A1211" s="19" t="n"/>
      <c r="B1211" s="19" t="n"/>
      <c r="C1211" s="19" t="n"/>
      <c r="D1211" s="19" t="n"/>
      <c r="E1211" s="19" t="n"/>
      <c r="F1211" s="19" t="n"/>
      <c r="G1211" s="19" t="n"/>
      <c r="H1211" s="19" t="n"/>
    </row>
    <row r="1212">
      <c r="A1212" s="19" t="n"/>
      <c r="B1212" s="19" t="n"/>
      <c r="C1212" s="19" t="n"/>
      <c r="D1212" s="19" t="n"/>
      <c r="E1212" s="19" t="n"/>
      <c r="F1212" s="19" t="n"/>
      <c r="G1212" s="19" t="n"/>
      <c r="H1212" s="19" t="n"/>
    </row>
    <row r="1213">
      <c r="A1213" s="19" t="n"/>
      <c r="B1213" s="19" t="n"/>
      <c r="C1213" s="19" t="n"/>
      <c r="D1213" s="19" t="n"/>
      <c r="E1213" s="19" t="n"/>
      <c r="F1213" s="19" t="n"/>
      <c r="G1213" s="19" t="n"/>
      <c r="H1213" s="19" t="n"/>
    </row>
    <row r="1214">
      <c r="A1214" s="19" t="n"/>
      <c r="B1214" s="19" t="n"/>
      <c r="C1214" s="19" t="n"/>
      <c r="D1214" s="19" t="n"/>
      <c r="E1214" s="19" t="n"/>
      <c r="F1214" s="19" t="n"/>
      <c r="G1214" s="19" t="n"/>
      <c r="H1214" s="19" t="n"/>
    </row>
    <row r="1215">
      <c r="A1215" s="19" t="n"/>
      <c r="B1215" s="19" t="n"/>
      <c r="C1215" s="19" t="n"/>
      <c r="D1215" s="19" t="n"/>
      <c r="E1215" s="19" t="n"/>
      <c r="F1215" s="19" t="n"/>
      <c r="G1215" s="19" t="n"/>
      <c r="H1215" s="19" t="n"/>
    </row>
    <row r="1216">
      <c r="A1216" s="19" t="n"/>
      <c r="B1216" s="19" t="n"/>
      <c r="C1216" s="19" t="n"/>
      <c r="D1216" s="19" t="n"/>
      <c r="E1216" s="19" t="n"/>
      <c r="F1216" s="19" t="n"/>
      <c r="G1216" s="19" t="n"/>
      <c r="H1216" s="19" t="n"/>
    </row>
    <row r="1217">
      <c r="A1217" s="19" t="n"/>
      <c r="B1217" s="19" t="n"/>
      <c r="C1217" s="19" t="n"/>
      <c r="D1217" s="19" t="n"/>
      <c r="E1217" s="19" t="n"/>
      <c r="F1217" s="19" t="n"/>
      <c r="G1217" s="19" t="n"/>
      <c r="H1217" s="19" t="n"/>
    </row>
    <row r="1218">
      <c r="A1218" s="19" t="n"/>
      <c r="B1218" s="19" t="n"/>
      <c r="C1218" s="19" t="n"/>
      <c r="D1218" s="19" t="n"/>
      <c r="E1218" s="19" t="n"/>
      <c r="F1218" s="19" t="n"/>
      <c r="G1218" s="19" t="n"/>
      <c r="H1218" s="19" t="n"/>
    </row>
    <row r="121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</row>
    <row r="1220">
      <c r="A1220" s="19" t="n"/>
      <c r="B1220" s="19" t="n"/>
      <c r="C1220" s="19" t="n"/>
      <c r="D1220" s="19" t="n"/>
      <c r="E1220" s="19" t="n"/>
      <c r="F1220" s="19" t="n"/>
      <c r="G1220" s="19" t="n"/>
      <c r="H1220" s="19" t="n"/>
    </row>
    <row r="1221">
      <c r="A1221" s="19" t="n"/>
      <c r="B1221" s="19" t="n"/>
      <c r="C1221" s="19" t="n"/>
      <c r="D1221" s="19" t="n"/>
      <c r="E1221" s="19" t="n"/>
      <c r="F1221" s="19" t="n"/>
      <c r="G1221" s="19" t="n"/>
      <c r="H1221" s="19" t="n"/>
    </row>
    <row r="1222">
      <c r="A1222" s="19" t="n"/>
      <c r="B1222" s="19" t="n"/>
      <c r="C1222" s="19" t="n"/>
      <c r="D1222" s="19" t="n"/>
      <c r="E1222" s="19" t="n"/>
      <c r="F1222" s="19" t="n"/>
      <c r="G1222" s="19" t="n"/>
      <c r="H1222" s="19" t="n"/>
    </row>
    <row r="1223">
      <c r="A1223" s="19" t="n"/>
      <c r="B1223" s="19" t="n"/>
      <c r="C1223" s="19" t="n"/>
      <c r="D1223" s="19" t="n"/>
      <c r="E1223" s="19" t="n"/>
      <c r="F1223" s="19" t="n"/>
      <c r="G1223" s="19" t="n"/>
      <c r="H1223" s="19" t="n"/>
    </row>
    <row r="1224">
      <c r="A1224" s="19" t="n"/>
      <c r="B1224" s="19" t="n"/>
      <c r="C1224" s="19" t="n"/>
      <c r="D1224" s="19" t="n"/>
      <c r="E1224" s="19" t="n"/>
      <c r="F1224" s="19" t="n"/>
      <c r="G1224" s="19" t="n"/>
      <c r="H1224" s="19" t="n"/>
    </row>
    <row r="1225">
      <c r="A1225" s="19" t="n"/>
      <c r="B1225" s="19" t="n"/>
      <c r="C1225" s="19" t="n"/>
      <c r="D1225" s="19" t="n"/>
      <c r="E1225" s="19" t="n"/>
      <c r="F1225" s="19" t="n"/>
      <c r="G1225" s="19" t="n"/>
      <c r="H1225" s="19" t="n"/>
    </row>
    <row r="1226">
      <c r="A1226" s="19" t="n"/>
      <c r="B1226" s="19" t="n"/>
      <c r="C1226" s="19" t="n"/>
      <c r="D1226" s="19" t="n"/>
      <c r="E1226" s="19" t="n"/>
      <c r="F1226" s="19" t="n"/>
      <c r="G1226" s="19" t="n"/>
      <c r="H1226" s="19" t="n"/>
    </row>
    <row r="1227">
      <c r="A1227" s="19" t="n"/>
      <c r="B1227" s="19" t="n"/>
      <c r="C1227" s="19" t="n"/>
      <c r="D1227" s="19" t="n"/>
      <c r="E1227" s="19" t="n"/>
      <c r="F1227" s="19" t="n"/>
      <c r="G1227" s="19" t="n"/>
      <c r="H1227" s="19" t="n"/>
    </row>
    <row r="1228">
      <c r="A1228" s="19" t="n"/>
      <c r="B1228" s="19" t="n"/>
      <c r="C1228" s="19" t="n"/>
      <c r="D1228" s="19" t="n"/>
      <c r="E1228" s="19" t="n"/>
      <c r="F1228" s="19" t="n"/>
      <c r="G1228" s="19" t="n"/>
      <c r="H1228" s="19" t="n"/>
    </row>
    <row r="122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</row>
    <row r="1230">
      <c r="A1230" s="19" t="n"/>
      <c r="B1230" s="19" t="n"/>
      <c r="C1230" s="19" t="n"/>
      <c r="D1230" s="19" t="n"/>
      <c r="E1230" s="19" t="n"/>
      <c r="F1230" s="19" t="n"/>
      <c r="G1230" s="19" t="n"/>
      <c r="H1230" s="19" t="n"/>
    </row>
    <row r="1231">
      <c r="A1231" s="19" t="n"/>
      <c r="B1231" s="19" t="n"/>
      <c r="C1231" s="19" t="n"/>
      <c r="D1231" s="19" t="n"/>
      <c r="E1231" s="19" t="n"/>
      <c r="F1231" s="19" t="n"/>
      <c r="G1231" s="19" t="n"/>
      <c r="H1231" s="19" t="n"/>
    </row>
    <row r="1232">
      <c r="A1232" s="19" t="n"/>
      <c r="B1232" s="19" t="n"/>
      <c r="C1232" s="19" t="n"/>
      <c r="D1232" s="19" t="n"/>
      <c r="E1232" s="19" t="n"/>
      <c r="F1232" s="19" t="n"/>
      <c r="G1232" s="19" t="n"/>
      <c r="H1232" s="19" t="n"/>
    </row>
    <row r="1233">
      <c r="A1233" s="19" t="n"/>
      <c r="B1233" s="19" t="n"/>
      <c r="C1233" s="19" t="n"/>
      <c r="D1233" s="19" t="n"/>
      <c r="E1233" s="19" t="n"/>
      <c r="F1233" s="19" t="n"/>
      <c r="G1233" s="19" t="n"/>
      <c r="H1233" s="19" t="n"/>
    </row>
    <row r="1234">
      <c r="A1234" s="19" t="n"/>
      <c r="B1234" s="19" t="n"/>
      <c r="C1234" s="19" t="n"/>
      <c r="D1234" s="19" t="n"/>
      <c r="E1234" s="19" t="n"/>
      <c r="F1234" s="19" t="n"/>
      <c r="G1234" s="19" t="n"/>
      <c r="H1234" s="19" t="n"/>
    </row>
    <row r="1235">
      <c r="A1235" s="19" t="n"/>
      <c r="B1235" s="19" t="n"/>
      <c r="C1235" s="19" t="n"/>
      <c r="D1235" s="19" t="n"/>
      <c r="E1235" s="19" t="n"/>
      <c r="F1235" s="19" t="n"/>
      <c r="G1235" s="19" t="n"/>
      <c r="H1235" s="19" t="n"/>
    </row>
    <row r="1236">
      <c r="A1236" s="19" t="n"/>
      <c r="B1236" s="19" t="n"/>
      <c r="C1236" s="19" t="n"/>
      <c r="D1236" s="19" t="n"/>
      <c r="E1236" s="19" t="n"/>
      <c r="F1236" s="19" t="n"/>
      <c r="G1236" s="19" t="n"/>
      <c r="H1236" s="19" t="n"/>
    </row>
    <row r="1237">
      <c r="A1237" s="19" t="n"/>
      <c r="B1237" s="19" t="n"/>
      <c r="C1237" s="19" t="n"/>
      <c r="D1237" s="19" t="n"/>
      <c r="E1237" s="19" t="n"/>
      <c r="F1237" s="19" t="n"/>
      <c r="G1237" s="19" t="n"/>
      <c r="H1237" s="19" t="n"/>
    </row>
    <row r="1238">
      <c r="A1238" s="19" t="n"/>
      <c r="B1238" s="19" t="n"/>
      <c r="C1238" s="19" t="n"/>
      <c r="D1238" s="19" t="n"/>
      <c r="E1238" s="19" t="n"/>
      <c r="F1238" s="19" t="n"/>
      <c r="G1238" s="19" t="n"/>
      <c r="H1238" s="19" t="n"/>
    </row>
    <row r="12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</row>
    <row r="1240">
      <c r="A1240" s="19" t="n"/>
      <c r="B1240" s="19" t="n"/>
      <c r="C1240" s="19" t="n"/>
      <c r="D1240" s="19" t="n"/>
      <c r="E1240" s="19" t="n"/>
      <c r="F1240" s="19" t="n"/>
      <c r="G1240" s="19" t="n"/>
      <c r="H1240" s="19" t="n"/>
    </row>
    <row r="1241">
      <c r="A1241" s="19" t="n"/>
      <c r="B1241" s="19" t="n"/>
      <c r="C1241" s="19" t="n"/>
      <c r="D1241" s="19" t="n"/>
      <c r="E1241" s="19" t="n"/>
      <c r="F1241" s="19" t="n"/>
      <c r="G1241" s="19" t="n"/>
      <c r="H1241" s="19" t="n"/>
    </row>
    <row r="1242">
      <c r="A1242" s="19" t="n"/>
      <c r="B1242" s="19" t="n"/>
      <c r="C1242" s="19" t="n"/>
      <c r="D1242" s="19" t="n"/>
      <c r="E1242" s="19" t="n"/>
      <c r="F1242" s="19" t="n"/>
      <c r="G1242" s="19" t="n"/>
      <c r="H1242" s="19" t="n"/>
    </row>
    <row r="1243">
      <c r="A1243" s="19" t="n"/>
      <c r="B1243" s="19" t="n"/>
      <c r="C1243" s="19" t="n"/>
      <c r="D1243" s="19" t="n"/>
      <c r="E1243" s="19" t="n"/>
      <c r="F1243" s="19" t="n"/>
      <c r="G1243" s="19" t="n"/>
      <c r="H1243" s="19" t="n"/>
    </row>
    <row r="1244">
      <c r="A1244" s="19" t="n"/>
      <c r="B1244" s="19" t="n"/>
      <c r="C1244" s="19" t="n"/>
      <c r="D1244" s="19" t="n"/>
      <c r="E1244" s="19" t="n"/>
      <c r="F1244" s="19" t="n"/>
      <c r="G1244" s="19" t="n"/>
      <c r="H1244" s="19" t="n"/>
    </row>
    <row r="1245">
      <c r="A1245" s="19" t="n"/>
      <c r="B1245" s="19" t="n"/>
      <c r="C1245" s="19" t="n"/>
      <c r="D1245" s="19" t="n"/>
      <c r="E1245" s="19" t="n"/>
      <c r="F1245" s="19" t="n"/>
      <c r="G1245" s="19" t="n"/>
      <c r="H1245" s="19" t="n"/>
    </row>
    <row r="1246">
      <c r="A1246" s="19" t="n"/>
      <c r="B1246" s="19" t="n"/>
      <c r="C1246" s="19" t="n"/>
      <c r="D1246" s="19" t="n"/>
      <c r="E1246" s="19" t="n"/>
      <c r="F1246" s="19" t="n"/>
      <c r="G1246" s="19" t="n"/>
      <c r="H1246" s="19" t="n"/>
    </row>
    <row r="1247">
      <c r="A1247" s="19" t="n"/>
      <c r="B1247" s="19" t="n"/>
      <c r="C1247" s="19" t="n"/>
      <c r="D1247" s="19" t="n"/>
      <c r="E1247" s="19" t="n"/>
      <c r="F1247" s="19" t="n"/>
      <c r="G1247" s="19" t="n"/>
      <c r="H1247" s="19" t="n"/>
    </row>
    <row r="1248">
      <c r="A1248" s="19" t="n"/>
      <c r="B1248" s="19" t="n"/>
      <c r="C1248" s="19" t="n"/>
      <c r="D1248" s="19" t="n"/>
      <c r="E1248" s="19" t="n"/>
      <c r="F1248" s="19" t="n"/>
      <c r="G1248" s="19" t="n"/>
      <c r="H1248" s="19" t="n"/>
    </row>
    <row r="124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</row>
    <row r="1250">
      <c r="A1250" s="19" t="n"/>
      <c r="B1250" s="19" t="n"/>
      <c r="C1250" s="19" t="n"/>
      <c r="D1250" s="19" t="n"/>
      <c r="E1250" s="19" t="n"/>
      <c r="F1250" s="19" t="n"/>
      <c r="G1250" s="19" t="n"/>
      <c r="H1250" s="19" t="n"/>
    </row>
    <row r="1251">
      <c r="A1251" s="19" t="n"/>
      <c r="B1251" s="19" t="n"/>
      <c r="C1251" s="19" t="n"/>
      <c r="D1251" s="19" t="n"/>
      <c r="E1251" s="19" t="n"/>
      <c r="F1251" s="19" t="n"/>
      <c r="G1251" s="19" t="n"/>
      <c r="H1251" s="19" t="n"/>
    </row>
    <row r="1252">
      <c r="A1252" s="19" t="n"/>
      <c r="B1252" s="19" t="n"/>
      <c r="C1252" s="19" t="n"/>
      <c r="D1252" s="19" t="n"/>
      <c r="E1252" s="19" t="n"/>
      <c r="F1252" s="19" t="n"/>
      <c r="G1252" s="19" t="n"/>
      <c r="H1252" s="19" t="n"/>
    </row>
    <row r="1253">
      <c r="A1253" s="19" t="n"/>
      <c r="B1253" s="19" t="n"/>
      <c r="C1253" s="19" t="n"/>
      <c r="D1253" s="19" t="n"/>
      <c r="E1253" s="19" t="n"/>
      <c r="F1253" s="19" t="n"/>
      <c r="G1253" s="19" t="n"/>
      <c r="H1253" s="19" t="n"/>
    </row>
    <row r="1254">
      <c r="A1254" s="19" t="n"/>
      <c r="B1254" s="19" t="n"/>
      <c r="C1254" s="19" t="n"/>
      <c r="D1254" s="19" t="n"/>
      <c r="E1254" s="19" t="n"/>
      <c r="F1254" s="19" t="n"/>
      <c r="G1254" s="19" t="n"/>
      <c r="H1254" s="19" t="n"/>
    </row>
    <row r="1255">
      <c r="A1255" s="19" t="n"/>
      <c r="B1255" s="19" t="n"/>
      <c r="C1255" s="19" t="n"/>
      <c r="D1255" s="19" t="n"/>
      <c r="E1255" s="19" t="n"/>
      <c r="F1255" s="19" t="n"/>
      <c r="G1255" s="19" t="n"/>
      <c r="H1255" s="19" t="n"/>
    </row>
    <row r="1256">
      <c r="A1256" s="19" t="n"/>
      <c r="B1256" s="19" t="n"/>
      <c r="C1256" s="19" t="n"/>
      <c r="D1256" s="19" t="n"/>
      <c r="E1256" s="19" t="n"/>
      <c r="F1256" s="19" t="n"/>
      <c r="G1256" s="19" t="n"/>
      <c r="H1256" s="19" t="n"/>
    </row>
    <row r="1257">
      <c r="A1257" s="19" t="n"/>
      <c r="B1257" s="19" t="n"/>
      <c r="C1257" s="19" t="n"/>
      <c r="D1257" s="19" t="n"/>
      <c r="E1257" s="19" t="n"/>
      <c r="F1257" s="19" t="n"/>
      <c r="G1257" s="19" t="n"/>
      <c r="H1257" s="19" t="n"/>
    </row>
    <row r="1258">
      <c r="A1258" s="19" t="n"/>
      <c r="B1258" s="19" t="n"/>
      <c r="C1258" s="19" t="n"/>
      <c r="D1258" s="19" t="n"/>
      <c r="E1258" s="19" t="n"/>
      <c r="F1258" s="19" t="n"/>
      <c r="G1258" s="19" t="n"/>
      <c r="H1258" s="19" t="n"/>
    </row>
    <row r="125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</row>
    <row r="1260">
      <c r="A1260" s="19" t="n"/>
      <c r="B1260" s="19" t="n"/>
      <c r="C1260" s="19" t="n"/>
      <c r="D1260" s="19" t="n"/>
      <c r="E1260" s="19" t="n"/>
      <c r="F1260" s="19" t="n"/>
      <c r="G1260" s="19" t="n"/>
      <c r="H1260" s="19" t="n"/>
    </row>
    <row r="1261">
      <c r="A1261" s="19" t="n"/>
      <c r="B1261" s="19" t="n"/>
      <c r="C1261" s="19" t="n"/>
      <c r="D1261" s="19" t="n"/>
      <c r="E1261" s="19" t="n"/>
      <c r="F1261" s="19" t="n"/>
      <c r="G1261" s="19" t="n"/>
      <c r="H1261" s="19" t="n"/>
    </row>
    <row r="1262">
      <c r="A1262" s="19" t="n"/>
      <c r="B1262" s="19" t="n"/>
      <c r="C1262" s="19" t="n"/>
      <c r="D1262" s="19" t="n"/>
      <c r="E1262" s="19" t="n"/>
      <c r="F1262" s="19" t="n"/>
      <c r="G1262" s="19" t="n"/>
      <c r="H1262" s="19" t="n"/>
    </row>
    <row r="1263">
      <c r="A1263" s="19" t="n"/>
      <c r="B1263" s="19" t="n"/>
      <c r="C1263" s="19" t="n"/>
      <c r="D1263" s="19" t="n"/>
      <c r="E1263" s="19" t="n"/>
      <c r="F1263" s="19" t="n"/>
      <c r="G1263" s="19" t="n"/>
      <c r="H1263" s="19" t="n"/>
    </row>
    <row r="1264">
      <c r="A1264" s="19" t="n"/>
      <c r="B1264" s="19" t="n"/>
      <c r="C1264" s="19" t="n"/>
      <c r="D1264" s="19" t="n"/>
      <c r="E1264" s="19" t="n"/>
      <c r="F1264" s="19" t="n"/>
      <c r="G1264" s="19" t="n"/>
      <c r="H1264" s="19" t="n"/>
    </row>
    <row r="1265">
      <c r="A1265" s="19" t="n"/>
      <c r="B1265" s="19" t="n"/>
      <c r="C1265" s="19" t="n"/>
      <c r="D1265" s="19" t="n"/>
      <c r="E1265" s="19" t="n"/>
      <c r="F1265" s="19" t="n"/>
      <c r="G1265" s="19" t="n"/>
      <c r="H1265" s="19" t="n"/>
    </row>
    <row r="1266">
      <c r="A1266" s="19" t="n"/>
      <c r="B1266" s="19" t="n"/>
      <c r="C1266" s="19" t="n"/>
      <c r="D1266" s="19" t="n"/>
      <c r="E1266" s="19" t="n"/>
      <c r="F1266" s="19" t="n"/>
      <c r="G1266" s="19" t="n"/>
      <c r="H1266" s="19" t="n"/>
    </row>
    <row r="1267">
      <c r="A1267" s="19" t="n"/>
      <c r="B1267" s="19" t="n"/>
      <c r="C1267" s="19" t="n"/>
      <c r="D1267" s="19" t="n"/>
      <c r="E1267" s="19" t="n"/>
      <c r="F1267" s="19" t="n"/>
      <c r="G1267" s="19" t="n"/>
      <c r="H1267" s="19" t="n"/>
    </row>
    <row r="1268">
      <c r="A1268" s="19" t="n"/>
      <c r="B1268" s="19" t="n"/>
      <c r="C1268" s="19" t="n"/>
      <c r="D1268" s="19" t="n"/>
      <c r="E1268" s="19" t="n"/>
      <c r="F1268" s="19" t="n"/>
      <c r="G1268" s="19" t="n"/>
      <c r="H1268" s="19" t="n"/>
    </row>
    <row r="126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</row>
    <row r="1270">
      <c r="A1270" s="19" t="n"/>
      <c r="B1270" s="19" t="n"/>
      <c r="C1270" s="19" t="n"/>
      <c r="D1270" s="19" t="n"/>
      <c r="E1270" s="19" t="n"/>
      <c r="F1270" s="19" t="n"/>
      <c r="G1270" s="19" t="n"/>
      <c r="H1270" s="19" t="n"/>
    </row>
    <row r="1271">
      <c r="A1271" s="19" t="n"/>
      <c r="B1271" s="19" t="n"/>
      <c r="C1271" s="19" t="n"/>
      <c r="D1271" s="19" t="n"/>
      <c r="E1271" s="19" t="n"/>
      <c r="F1271" s="19" t="n"/>
      <c r="G1271" s="19" t="n"/>
      <c r="H1271" s="19" t="n"/>
    </row>
    <row r="1272">
      <c r="A1272" s="19" t="n"/>
      <c r="B1272" s="19" t="n"/>
      <c r="C1272" s="19" t="n"/>
      <c r="D1272" s="19" t="n"/>
      <c r="E1272" s="19" t="n"/>
      <c r="F1272" s="19" t="n"/>
      <c r="G1272" s="19" t="n"/>
      <c r="H1272" s="19" t="n"/>
    </row>
    <row r="1273">
      <c r="A1273" s="19" t="n"/>
      <c r="B1273" s="19" t="n"/>
      <c r="C1273" s="19" t="n"/>
      <c r="D1273" s="19" t="n"/>
      <c r="E1273" s="19" t="n"/>
      <c r="F1273" s="19" t="n"/>
      <c r="G1273" s="19" t="n"/>
      <c r="H1273" s="19" t="n"/>
    </row>
    <row r="1274">
      <c r="A1274" s="19" t="n"/>
      <c r="B1274" s="19" t="n"/>
      <c r="C1274" s="19" t="n"/>
      <c r="D1274" s="19" t="n"/>
      <c r="E1274" s="19" t="n"/>
      <c r="F1274" s="19" t="n"/>
      <c r="G1274" s="19" t="n"/>
      <c r="H1274" s="19" t="n"/>
    </row>
    <row r="1275">
      <c r="A1275" s="19" t="n"/>
      <c r="B1275" s="19" t="n"/>
      <c r="C1275" s="19" t="n"/>
      <c r="D1275" s="19" t="n"/>
      <c r="E1275" s="19" t="n"/>
      <c r="F1275" s="19" t="n"/>
      <c r="G1275" s="19" t="n"/>
      <c r="H1275" s="19" t="n"/>
    </row>
    <row r="1276">
      <c r="A1276" s="19" t="n"/>
      <c r="B1276" s="19" t="n"/>
      <c r="C1276" s="19" t="n"/>
      <c r="D1276" s="19" t="n"/>
      <c r="E1276" s="19" t="n"/>
      <c r="F1276" s="19" t="n"/>
      <c r="G1276" s="19" t="n"/>
      <c r="H1276" s="19" t="n"/>
    </row>
    <row r="1277">
      <c r="A1277" s="19" t="n"/>
      <c r="B1277" s="19" t="n"/>
      <c r="C1277" s="19" t="n"/>
      <c r="D1277" s="19" t="n"/>
      <c r="E1277" s="19" t="n"/>
      <c r="F1277" s="19" t="n"/>
      <c r="G1277" s="19" t="n"/>
      <c r="H1277" s="19" t="n"/>
    </row>
    <row r="1278">
      <c r="A1278" s="19" t="n"/>
      <c r="B1278" s="19" t="n"/>
      <c r="C1278" s="19" t="n"/>
      <c r="D1278" s="19" t="n"/>
      <c r="E1278" s="19" t="n"/>
      <c r="F1278" s="19" t="n"/>
      <c r="G1278" s="19" t="n"/>
      <c r="H1278" s="19" t="n"/>
    </row>
    <row r="127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</row>
    <row r="1280">
      <c r="A1280" s="19" t="n"/>
      <c r="B1280" s="19" t="n"/>
      <c r="C1280" s="19" t="n"/>
      <c r="D1280" s="19" t="n"/>
      <c r="E1280" s="19" t="n"/>
      <c r="F1280" s="19" t="n"/>
      <c r="G1280" s="19" t="n"/>
      <c r="H1280" s="19" t="n"/>
    </row>
    <row r="1281">
      <c r="A1281" s="19" t="n"/>
      <c r="B1281" s="19" t="n"/>
      <c r="C1281" s="19" t="n"/>
      <c r="D1281" s="19" t="n"/>
      <c r="E1281" s="19" t="n"/>
      <c r="F1281" s="19" t="n"/>
      <c r="G1281" s="19" t="n"/>
      <c r="H1281" s="19" t="n"/>
    </row>
    <row r="1282">
      <c r="A1282" s="19" t="n"/>
      <c r="B1282" s="19" t="n"/>
      <c r="C1282" s="19" t="n"/>
      <c r="D1282" s="19" t="n"/>
      <c r="E1282" s="19" t="n"/>
      <c r="F1282" s="19" t="n"/>
      <c r="G1282" s="19" t="n"/>
      <c r="H1282" s="19" t="n"/>
    </row>
    <row r="1283">
      <c r="A1283" s="19" t="n"/>
      <c r="B1283" s="19" t="n"/>
      <c r="C1283" s="19" t="n"/>
      <c r="D1283" s="19" t="n"/>
      <c r="E1283" s="19" t="n"/>
      <c r="F1283" s="19" t="n"/>
      <c r="G1283" s="19" t="n"/>
      <c r="H1283" s="19" t="n"/>
    </row>
    <row r="1284">
      <c r="A1284" s="19" t="n"/>
      <c r="B1284" s="19" t="n"/>
      <c r="C1284" s="19" t="n"/>
      <c r="D1284" s="19" t="n"/>
      <c r="E1284" s="19" t="n"/>
      <c r="F1284" s="19" t="n"/>
      <c r="G1284" s="19" t="n"/>
      <c r="H1284" s="19" t="n"/>
    </row>
    <row r="1285">
      <c r="A1285" s="19" t="n"/>
      <c r="B1285" s="19" t="n"/>
      <c r="C1285" s="19" t="n"/>
      <c r="D1285" s="19" t="n"/>
      <c r="E1285" s="19" t="n"/>
      <c r="F1285" s="19" t="n"/>
      <c r="G1285" s="19" t="n"/>
      <c r="H1285" s="19" t="n"/>
    </row>
    <row r="1286">
      <c r="A1286" s="19" t="n"/>
      <c r="B1286" s="19" t="n"/>
      <c r="C1286" s="19" t="n"/>
      <c r="D1286" s="19" t="n"/>
      <c r="E1286" s="19" t="n"/>
      <c r="F1286" s="19" t="n"/>
      <c r="G1286" s="19" t="n"/>
      <c r="H1286" s="19" t="n"/>
    </row>
    <row r="1287">
      <c r="A1287" s="19" t="n"/>
      <c r="B1287" s="19" t="n"/>
      <c r="C1287" s="19" t="n"/>
      <c r="D1287" s="19" t="n"/>
      <c r="E1287" s="19" t="n"/>
      <c r="F1287" s="19" t="n"/>
      <c r="G1287" s="19" t="n"/>
      <c r="H1287" s="19" t="n"/>
    </row>
    <row r="1288">
      <c r="A1288" s="19" t="n"/>
      <c r="B1288" s="19" t="n"/>
      <c r="C1288" s="19" t="n"/>
      <c r="D1288" s="19" t="n"/>
      <c r="E1288" s="19" t="n"/>
      <c r="F1288" s="19" t="n"/>
      <c r="G1288" s="19" t="n"/>
      <c r="H1288" s="19" t="n"/>
    </row>
    <row r="128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</row>
    <row r="1290">
      <c r="A1290" s="19" t="n"/>
      <c r="B1290" s="19" t="n"/>
      <c r="C1290" s="19" t="n"/>
      <c r="D1290" s="19" t="n"/>
      <c r="E1290" s="19" t="n"/>
      <c r="F1290" s="19" t="n"/>
      <c r="G1290" s="19" t="n"/>
      <c r="H1290" s="19" t="n"/>
    </row>
    <row r="1291">
      <c r="A1291" s="19" t="n"/>
      <c r="B1291" s="19" t="n"/>
      <c r="C1291" s="19" t="n"/>
      <c r="D1291" s="19" t="n"/>
      <c r="E1291" s="19" t="n"/>
      <c r="F1291" s="19" t="n"/>
      <c r="G1291" s="19" t="n"/>
      <c r="H1291" s="19" t="n"/>
    </row>
    <row r="1292">
      <c r="A1292" s="19" t="n"/>
      <c r="B1292" s="19" t="n"/>
      <c r="C1292" s="19" t="n"/>
      <c r="D1292" s="19" t="n"/>
      <c r="E1292" s="19" t="n"/>
      <c r="F1292" s="19" t="n"/>
      <c r="G1292" s="19" t="n"/>
      <c r="H1292" s="19" t="n"/>
    </row>
    <row r="1293">
      <c r="A1293" s="19" t="n"/>
      <c r="B1293" s="19" t="n"/>
      <c r="C1293" s="19" t="n"/>
      <c r="D1293" s="19" t="n"/>
      <c r="E1293" s="19" t="n"/>
      <c r="F1293" s="19" t="n"/>
      <c r="G1293" s="19" t="n"/>
      <c r="H1293" s="19" t="n"/>
    </row>
    <row r="1294">
      <c r="A1294" s="19" t="n"/>
      <c r="B1294" s="19" t="n"/>
      <c r="C1294" s="19" t="n"/>
      <c r="D1294" s="19" t="n"/>
      <c r="E1294" s="19" t="n"/>
      <c r="F1294" s="19" t="n"/>
      <c r="G1294" s="19" t="n"/>
      <c r="H1294" s="19" t="n"/>
    </row>
    <row r="1295">
      <c r="A1295" s="19" t="n"/>
      <c r="B1295" s="19" t="n"/>
      <c r="C1295" s="19" t="n"/>
      <c r="D1295" s="19" t="n"/>
      <c r="E1295" s="19" t="n"/>
      <c r="F1295" s="19" t="n"/>
      <c r="G1295" s="19" t="n"/>
      <c r="H1295" s="19" t="n"/>
    </row>
    <row r="1296">
      <c r="A1296" s="19" t="n"/>
      <c r="B1296" s="19" t="n"/>
      <c r="C1296" s="19" t="n"/>
      <c r="D1296" s="19" t="n"/>
      <c r="E1296" s="19" t="n"/>
      <c r="F1296" s="19" t="n"/>
      <c r="G1296" s="19" t="n"/>
      <c r="H1296" s="19" t="n"/>
    </row>
    <row r="1297">
      <c r="A1297" s="19" t="n"/>
      <c r="B1297" s="19" t="n"/>
      <c r="C1297" s="19" t="n"/>
      <c r="D1297" s="19" t="n"/>
      <c r="E1297" s="19" t="n"/>
      <c r="F1297" s="19" t="n"/>
      <c r="G1297" s="19" t="n"/>
      <c r="H1297" s="19" t="n"/>
    </row>
    <row r="1298">
      <c r="A1298" s="19" t="n"/>
      <c r="B1298" s="19" t="n"/>
      <c r="C1298" s="19" t="n"/>
      <c r="D1298" s="19" t="n"/>
      <c r="E1298" s="19" t="n"/>
      <c r="F1298" s="19" t="n"/>
      <c r="G1298" s="19" t="n"/>
      <c r="H1298" s="19" t="n"/>
    </row>
    <row r="129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</row>
    <row r="1300">
      <c r="A1300" s="19" t="n"/>
      <c r="B1300" s="19" t="n"/>
      <c r="C1300" s="19" t="n"/>
      <c r="D1300" s="19" t="n"/>
      <c r="E1300" s="19" t="n"/>
      <c r="F1300" s="19" t="n"/>
      <c r="G1300" s="19" t="n"/>
      <c r="H1300" s="19" t="n"/>
    </row>
    <row r="1301">
      <c r="A1301" s="19" t="n"/>
      <c r="B1301" s="19" t="n"/>
      <c r="C1301" s="19" t="n"/>
      <c r="D1301" s="19" t="n"/>
      <c r="E1301" s="19" t="n"/>
      <c r="F1301" s="19" t="n"/>
      <c r="G1301" s="19" t="n"/>
      <c r="H1301" s="19" t="n"/>
    </row>
    <row r="1302">
      <c r="A1302" s="19" t="n"/>
      <c r="B1302" s="19" t="n"/>
      <c r="C1302" s="19" t="n"/>
      <c r="D1302" s="19" t="n"/>
      <c r="E1302" s="19" t="n"/>
      <c r="F1302" s="19" t="n"/>
      <c r="G1302" s="19" t="n"/>
      <c r="H1302" s="19" t="n"/>
    </row>
    <row r="1303">
      <c r="A1303" s="19" t="n"/>
      <c r="B1303" s="19" t="n"/>
      <c r="C1303" s="19" t="n"/>
      <c r="D1303" s="19" t="n"/>
      <c r="E1303" s="19" t="n"/>
      <c r="F1303" s="19" t="n"/>
      <c r="G1303" s="19" t="n"/>
      <c r="H1303" s="19" t="n"/>
    </row>
    <row r="1304">
      <c r="A1304" s="19" t="n"/>
      <c r="B1304" s="19" t="n"/>
      <c r="C1304" s="19" t="n"/>
      <c r="D1304" s="19" t="n"/>
      <c r="E1304" s="19" t="n"/>
      <c r="F1304" s="19" t="n"/>
      <c r="G1304" s="19" t="n"/>
      <c r="H1304" s="19" t="n"/>
    </row>
    <row r="1305">
      <c r="A1305" s="19" t="n"/>
      <c r="B1305" s="19" t="n"/>
      <c r="C1305" s="19" t="n"/>
      <c r="D1305" s="19" t="n"/>
      <c r="E1305" s="19" t="n"/>
      <c r="F1305" s="19" t="n"/>
      <c r="G1305" s="19" t="n"/>
      <c r="H1305" s="19" t="n"/>
    </row>
    <row r="1306">
      <c r="A1306" s="19" t="n"/>
      <c r="B1306" s="19" t="n"/>
      <c r="C1306" s="19" t="n"/>
      <c r="D1306" s="19" t="n"/>
      <c r="E1306" s="19" t="n"/>
      <c r="F1306" s="19" t="n"/>
      <c r="G1306" s="19" t="n"/>
      <c r="H1306" s="19" t="n"/>
    </row>
    <row r="1307">
      <c r="A1307" s="19" t="n"/>
      <c r="B1307" s="19" t="n"/>
      <c r="C1307" s="19" t="n"/>
      <c r="D1307" s="19" t="n"/>
      <c r="E1307" s="19" t="n"/>
      <c r="F1307" s="19" t="n"/>
      <c r="G1307" s="19" t="n"/>
      <c r="H1307" s="19" t="n"/>
    </row>
    <row r="1308">
      <c r="A1308" s="19" t="n"/>
      <c r="B1308" s="19" t="n"/>
      <c r="C1308" s="19" t="n"/>
      <c r="D1308" s="19" t="n"/>
      <c r="E1308" s="19" t="n"/>
      <c r="F1308" s="19" t="n"/>
      <c r="G1308" s="19" t="n"/>
      <c r="H1308" s="19" t="n"/>
    </row>
    <row r="130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</row>
    <row r="1310">
      <c r="A1310" s="19" t="n"/>
      <c r="B1310" s="19" t="n"/>
      <c r="C1310" s="19" t="n"/>
      <c r="D1310" s="19" t="n"/>
      <c r="E1310" s="19" t="n"/>
      <c r="F1310" s="19" t="n"/>
      <c r="G1310" s="19" t="n"/>
      <c r="H1310" s="19" t="n"/>
    </row>
    <row r="1311">
      <c r="A1311" s="19" t="n"/>
      <c r="B1311" s="19" t="n"/>
      <c r="C1311" s="19" t="n"/>
      <c r="D1311" s="19" t="n"/>
      <c r="E1311" s="19" t="n"/>
      <c r="F1311" s="19" t="n"/>
      <c r="G1311" s="19" t="n"/>
      <c r="H1311" s="19" t="n"/>
    </row>
    <row r="1312">
      <c r="A1312" s="19" t="n"/>
      <c r="B1312" s="19" t="n"/>
      <c r="C1312" s="19" t="n"/>
      <c r="D1312" s="19" t="n"/>
      <c r="E1312" s="19" t="n"/>
      <c r="F1312" s="19" t="n"/>
      <c r="G1312" s="19" t="n"/>
      <c r="H1312" s="19" t="n"/>
    </row>
    <row r="1313">
      <c r="A1313" s="19" t="n"/>
      <c r="B1313" s="19" t="n"/>
      <c r="C1313" s="19" t="n"/>
      <c r="D1313" s="19" t="n"/>
      <c r="E1313" s="19" t="n"/>
      <c r="F1313" s="19" t="n"/>
      <c r="G1313" s="19" t="n"/>
      <c r="H1313" s="19" t="n"/>
    </row>
    <row r="1314">
      <c r="A1314" s="19" t="n"/>
      <c r="B1314" s="19" t="n"/>
      <c r="C1314" s="19" t="n"/>
      <c r="D1314" s="19" t="n"/>
      <c r="E1314" s="19" t="n"/>
      <c r="F1314" s="19" t="n"/>
      <c r="G1314" s="19" t="n"/>
      <c r="H1314" s="19" t="n"/>
    </row>
    <row r="1315">
      <c r="A1315" s="19" t="n"/>
      <c r="B1315" s="19" t="n"/>
      <c r="C1315" s="19" t="n"/>
      <c r="D1315" s="19" t="n"/>
      <c r="E1315" s="19" t="n"/>
      <c r="F1315" s="19" t="n"/>
      <c r="G1315" s="19" t="n"/>
      <c r="H1315" s="19" t="n"/>
    </row>
    <row r="1316">
      <c r="A1316" s="19" t="n"/>
      <c r="B1316" s="19" t="n"/>
      <c r="C1316" s="19" t="n"/>
      <c r="D1316" s="19" t="n"/>
      <c r="E1316" s="19" t="n"/>
      <c r="F1316" s="19" t="n"/>
      <c r="G1316" s="19" t="n"/>
      <c r="H1316" s="19" t="n"/>
    </row>
    <row r="1317">
      <c r="A1317" s="19" t="n"/>
      <c r="B1317" s="19" t="n"/>
      <c r="C1317" s="19" t="n"/>
      <c r="D1317" s="19" t="n"/>
      <c r="E1317" s="19" t="n"/>
      <c r="F1317" s="19" t="n"/>
      <c r="G1317" s="19" t="n"/>
      <c r="H1317" s="19" t="n"/>
    </row>
    <row r="1318">
      <c r="A1318" s="19" t="n"/>
      <c r="B1318" s="19" t="n"/>
      <c r="C1318" s="19" t="n"/>
      <c r="D1318" s="19" t="n"/>
      <c r="E1318" s="19" t="n"/>
      <c r="F1318" s="19" t="n"/>
      <c r="G1318" s="19" t="n"/>
      <c r="H1318" s="19" t="n"/>
    </row>
    <row r="131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</row>
    <row r="1320">
      <c r="A1320" s="19" t="n"/>
      <c r="B1320" s="19" t="n"/>
      <c r="C1320" s="19" t="n"/>
      <c r="D1320" s="19" t="n"/>
      <c r="E1320" s="19" t="n"/>
      <c r="F1320" s="19" t="n"/>
      <c r="G1320" s="19" t="n"/>
      <c r="H1320" s="19" t="n"/>
    </row>
    <row r="1321">
      <c r="A1321" s="19" t="n"/>
      <c r="B1321" s="19" t="n"/>
      <c r="C1321" s="19" t="n"/>
      <c r="D1321" s="19" t="n"/>
      <c r="E1321" s="19" t="n"/>
      <c r="F1321" s="19" t="n"/>
      <c r="G1321" s="19" t="n"/>
      <c r="H1321" s="19" t="n"/>
    </row>
    <row r="1322">
      <c r="A1322" s="19" t="n"/>
      <c r="B1322" s="19" t="n"/>
      <c r="C1322" s="19" t="n"/>
      <c r="D1322" s="19" t="n"/>
      <c r="E1322" s="19" t="n"/>
      <c r="F1322" s="19" t="n"/>
      <c r="G1322" s="19" t="n"/>
      <c r="H1322" s="19" t="n"/>
    </row>
    <row r="1323">
      <c r="A1323" s="19" t="n"/>
      <c r="B1323" s="19" t="n"/>
      <c r="C1323" s="19" t="n"/>
      <c r="D1323" s="19" t="n"/>
      <c r="E1323" s="19" t="n"/>
      <c r="F1323" s="19" t="n"/>
      <c r="G1323" s="19" t="n"/>
      <c r="H1323" s="19" t="n"/>
    </row>
    <row r="1324">
      <c r="A1324" s="19" t="n"/>
      <c r="B1324" s="19" t="n"/>
      <c r="C1324" s="19" t="n"/>
      <c r="D1324" s="19" t="n"/>
      <c r="E1324" s="19" t="n"/>
      <c r="F1324" s="19" t="n"/>
      <c r="G1324" s="19" t="n"/>
      <c r="H1324" s="19" t="n"/>
    </row>
    <row r="1325">
      <c r="A1325" s="19" t="n"/>
      <c r="B1325" s="19" t="n"/>
      <c r="C1325" s="19" t="n"/>
      <c r="D1325" s="19" t="n"/>
      <c r="E1325" s="19" t="n"/>
      <c r="F1325" s="19" t="n"/>
      <c r="G1325" s="19" t="n"/>
      <c r="H1325" s="19" t="n"/>
    </row>
    <row r="1326">
      <c r="A1326" s="19" t="n"/>
      <c r="B1326" s="19" t="n"/>
      <c r="C1326" s="19" t="n"/>
      <c r="D1326" s="19" t="n"/>
      <c r="E1326" s="19" t="n"/>
      <c r="F1326" s="19" t="n"/>
      <c r="G1326" s="19" t="n"/>
      <c r="H1326" s="19" t="n"/>
    </row>
    <row r="1327">
      <c r="A1327" s="19" t="n"/>
      <c r="B1327" s="19" t="n"/>
      <c r="C1327" s="19" t="n"/>
      <c r="D1327" s="19" t="n"/>
      <c r="E1327" s="19" t="n"/>
      <c r="F1327" s="19" t="n"/>
      <c r="G1327" s="19" t="n"/>
      <c r="H1327" s="19" t="n"/>
    </row>
    <row r="1328">
      <c r="A1328" s="19" t="n"/>
      <c r="B1328" s="19" t="n"/>
      <c r="C1328" s="19" t="n"/>
      <c r="D1328" s="19" t="n"/>
      <c r="E1328" s="19" t="n"/>
      <c r="F1328" s="19" t="n"/>
      <c r="G1328" s="19" t="n"/>
      <c r="H1328" s="19" t="n"/>
    </row>
    <row r="132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</row>
    <row r="1330">
      <c r="A1330" s="19" t="n"/>
      <c r="B1330" s="19" t="n"/>
      <c r="C1330" s="19" t="n"/>
      <c r="D1330" s="19" t="n"/>
      <c r="E1330" s="19" t="n"/>
      <c r="F1330" s="19" t="n"/>
      <c r="G1330" s="19" t="n"/>
      <c r="H1330" s="19" t="n"/>
    </row>
    <row r="1331">
      <c r="A1331" s="19" t="n"/>
      <c r="B1331" s="19" t="n"/>
      <c r="C1331" s="19" t="n"/>
      <c r="D1331" s="19" t="n"/>
      <c r="E1331" s="19" t="n"/>
      <c r="F1331" s="19" t="n"/>
      <c r="G1331" s="19" t="n"/>
      <c r="H1331" s="19" t="n"/>
    </row>
    <row r="1332">
      <c r="A1332" s="19" t="n"/>
      <c r="B1332" s="19" t="n"/>
      <c r="C1332" s="19" t="n"/>
      <c r="D1332" s="19" t="n"/>
      <c r="E1332" s="19" t="n"/>
      <c r="F1332" s="19" t="n"/>
      <c r="G1332" s="19" t="n"/>
      <c r="H1332" s="19" t="n"/>
    </row>
    <row r="1333">
      <c r="A1333" s="19" t="n"/>
      <c r="B1333" s="19" t="n"/>
      <c r="C1333" s="19" t="n"/>
      <c r="D1333" s="19" t="n"/>
      <c r="E1333" s="19" t="n"/>
      <c r="F1333" s="19" t="n"/>
      <c r="G1333" s="19" t="n"/>
      <c r="H1333" s="19" t="n"/>
    </row>
    <row r="1334">
      <c r="A1334" s="19" t="n"/>
      <c r="B1334" s="19" t="n"/>
      <c r="C1334" s="19" t="n"/>
      <c r="D1334" s="19" t="n"/>
      <c r="E1334" s="19" t="n"/>
      <c r="F1334" s="19" t="n"/>
      <c r="G1334" s="19" t="n"/>
      <c r="H1334" s="19" t="n"/>
    </row>
    <row r="1335">
      <c r="A1335" s="19" t="n"/>
      <c r="B1335" s="19" t="n"/>
      <c r="C1335" s="19" t="n"/>
      <c r="D1335" s="19" t="n"/>
      <c r="E1335" s="19" t="n"/>
      <c r="F1335" s="19" t="n"/>
      <c r="G1335" s="19" t="n"/>
      <c r="H1335" s="19" t="n"/>
    </row>
    <row r="1336">
      <c r="A1336" s="19" t="n"/>
      <c r="B1336" s="19" t="n"/>
      <c r="C1336" s="19" t="n"/>
      <c r="D1336" s="19" t="n"/>
      <c r="E1336" s="19" t="n"/>
      <c r="F1336" s="19" t="n"/>
      <c r="G1336" s="19" t="n"/>
      <c r="H1336" s="19" t="n"/>
    </row>
    <row r="1337">
      <c r="A1337" s="19" t="n"/>
      <c r="B1337" s="19" t="n"/>
      <c r="C1337" s="19" t="n"/>
      <c r="D1337" s="19" t="n"/>
      <c r="E1337" s="19" t="n"/>
      <c r="F1337" s="19" t="n"/>
      <c r="G1337" s="19" t="n"/>
      <c r="H1337" s="19" t="n"/>
    </row>
    <row r="1338">
      <c r="A1338" s="19" t="n"/>
      <c r="B1338" s="19" t="n"/>
      <c r="C1338" s="19" t="n"/>
      <c r="D1338" s="19" t="n"/>
      <c r="E1338" s="19" t="n"/>
      <c r="F1338" s="19" t="n"/>
      <c r="G1338" s="19" t="n"/>
      <c r="H1338" s="19" t="n"/>
    </row>
    <row r="13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</row>
    <row r="1340">
      <c r="A1340" s="19" t="n"/>
      <c r="B1340" s="19" t="n"/>
      <c r="C1340" s="19" t="n"/>
      <c r="D1340" s="19" t="n"/>
      <c r="E1340" s="19" t="n"/>
      <c r="F1340" s="19" t="n"/>
      <c r="G1340" s="19" t="n"/>
      <c r="H1340" s="19" t="n"/>
    </row>
    <row r="1341">
      <c r="A1341" s="19" t="n"/>
      <c r="B1341" s="19" t="n"/>
      <c r="C1341" s="19" t="n"/>
      <c r="D1341" s="19" t="n"/>
      <c r="E1341" s="19" t="n"/>
      <c r="F1341" s="19" t="n"/>
      <c r="G1341" s="19" t="n"/>
      <c r="H1341" s="19" t="n"/>
    </row>
    <row r="1342">
      <c r="A1342" s="19" t="n"/>
      <c r="B1342" s="19" t="n"/>
      <c r="C1342" s="19" t="n"/>
      <c r="D1342" s="19" t="n"/>
      <c r="E1342" s="19" t="n"/>
      <c r="F1342" s="19" t="n"/>
      <c r="G1342" s="19" t="n"/>
      <c r="H1342" s="19" t="n"/>
    </row>
    <row r="1343">
      <c r="A1343" s="19" t="n"/>
      <c r="B1343" s="19" t="n"/>
      <c r="C1343" s="19" t="n"/>
      <c r="D1343" s="19" t="n"/>
      <c r="E1343" s="19" t="n"/>
      <c r="F1343" s="19" t="n"/>
      <c r="G1343" s="19" t="n"/>
      <c r="H1343" s="19" t="n"/>
    </row>
    <row r="1344">
      <c r="A1344" s="19" t="n"/>
      <c r="B1344" s="19" t="n"/>
      <c r="C1344" s="19" t="n"/>
      <c r="D1344" s="19" t="n"/>
      <c r="E1344" s="19" t="n"/>
      <c r="F1344" s="19" t="n"/>
      <c r="G1344" s="19" t="n"/>
      <c r="H1344" s="19" t="n"/>
    </row>
    <row r="1345">
      <c r="A1345" s="19" t="n"/>
      <c r="B1345" s="19" t="n"/>
      <c r="C1345" s="19" t="n"/>
      <c r="D1345" s="19" t="n"/>
      <c r="E1345" s="19" t="n"/>
      <c r="F1345" s="19" t="n"/>
      <c r="G1345" s="19" t="n"/>
      <c r="H1345" s="19" t="n"/>
    </row>
    <row r="1346">
      <c r="A1346" s="19" t="n"/>
      <c r="B1346" s="19" t="n"/>
      <c r="C1346" s="19" t="n"/>
      <c r="D1346" s="19" t="n"/>
      <c r="E1346" s="19" t="n"/>
      <c r="F1346" s="19" t="n"/>
      <c r="G1346" s="19" t="n"/>
      <c r="H1346" s="19" t="n"/>
    </row>
    <row r="1347">
      <c r="A1347" s="19" t="n"/>
      <c r="B1347" s="19" t="n"/>
      <c r="C1347" s="19" t="n"/>
      <c r="D1347" s="19" t="n"/>
      <c r="E1347" s="19" t="n"/>
      <c r="F1347" s="19" t="n"/>
      <c r="G1347" s="19" t="n"/>
      <c r="H1347" s="19" t="n"/>
    </row>
    <row r="1348">
      <c r="A1348" s="19" t="n"/>
      <c r="B1348" s="19" t="n"/>
      <c r="C1348" s="19" t="n"/>
      <c r="D1348" s="19" t="n"/>
      <c r="E1348" s="19" t="n"/>
      <c r="F1348" s="19" t="n"/>
      <c r="G1348" s="19" t="n"/>
      <c r="H1348" s="19" t="n"/>
    </row>
    <row r="134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</row>
    <row r="1350">
      <c r="A1350" s="19" t="n"/>
      <c r="B1350" s="19" t="n"/>
      <c r="C1350" s="19" t="n"/>
      <c r="D1350" s="19" t="n"/>
      <c r="E1350" s="19" t="n"/>
      <c r="F1350" s="19" t="n"/>
      <c r="G1350" s="19" t="n"/>
      <c r="H1350" s="19" t="n"/>
    </row>
    <row r="1351">
      <c r="A1351" s="19" t="n"/>
      <c r="B1351" s="19" t="n"/>
      <c r="C1351" s="19" t="n"/>
      <c r="D1351" s="19" t="n"/>
      <c r="E1351" s="19" t="n"/>
      <c r="F1351" s="19" t="n"/>
      <c r="G1351" s="19" t="n"/>
      <c r="H1351" s="19" t="n"/>
    </row>
    <row r="1352">
      <c r="A1352" s="19" t="n"/>
      <c r="B1352" s="19" t="n"/>
      <c r="C1352" s="19" t="n"/>
      <c r="D1352" s="19" t="n"/>
      <c r="E1352" s="19" t="n"/>
      <c r="F1352" s="19" t="n"/>
      <c r="G1352" s="19" t="n"/>
      <c r="H1352" s="19" t="n"/>
    </row>
    <row r="1353">
      <c r="A1353" s="19" t="n"/>
      <c r="B1353" s="19" t="n"/>
      <c r="C1353" s="19" t="n"/>
      <c r="D1353" s="19" t="n"/>
      <c r="E1353" s="19" t="n"/>
      <c r="F1353" s="19" t="n"/>
      <c r="G1353" s="19" t="n"/>
      <c r="H1353" s="19" t="n"/>
    </row>
    <row r="1354">
      <c r="A1354" s="19" t="n"/>
      <c r="B1354" s="19" t="n"/>
      <c r="C1354" s="19" t="n"/>
      <c r="D1354" s="19" t="n"/>
      <c r="E1354" s="19" t="n"/>
      <c r="F1354" s="19" t="n"/>
      <c r="G1354" s="19" t="n"/>
      <c r="H1354" s="19" t="n"/>
    </row>
    <row r="1355">
      <c r="A1355" s="19" t="n"/>
      <c r="B1355" s="19" t="n"/>
      <c r="C1355" s="19" t="n"/>
      <c r="D1355" s="19" t="n"/>
      <c r="E1355" s="19" t="n"/>
      <c r="F1355" s="19" t="n"/>
      <c r="G1355" s="19" t="n"/>
      <c r="H1355" s="19" t="n"/>
    </row>
    <row r="1356">
      <c r="A1356" s="19" t="n"/>
      <c r="B1356" s="19" t="n"/>
      <c r="C1356" s="19" t="n"/>
      <c r="D1356" s="19" t="n"/>
      <c r="E1356" s="19" t="n"/>
      <c r="F1356" s="19" t="n"/>
      <c r="G1356" s="19" t="n"/>
      <c r="H1356" s="19" t="n"/>
    </row>
    <row r="1357">
      <c r="A1357" s="19" t="n"/>
      <c r="B1357" s="19" t="n"/>
      <c r="C1357" s="19" t="n"/>
      <c r="D1357" s="19" t="n"/>
      <c r="E1357" s="19" t="n"/>
      <c r="F1357" s="19" t="n"/>
      <c r="G1357" s="19" t="n"/>
      <c r="H1357" s="19" t="n"/>
    </row>
    <row r="1358">
      <c r="A1358" s="19" t="n"/>
      <c r="B1358" s="19" t="n"/>
      <c r="C1358" s="19" t="n"/>
      <c r="D1358" s="19" t="n"/>
      <c r="E1358" s="19" t="n"/>
      <c r="F1358" s="19" t="n"/>
      <c r="G1358" s="19" t="n"/>
      <c r="H1358" s="19" t="n"/>
    </row>
    <row r="135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</row>
    <row r="1360">
      <c r="A1360" s="19" t="n"/>
      <c r="B1360" s="19" t="n"/>
      <c r="C1360" s="19" t="n"/>
      <c r="D1360" s="19" t="n"/>
      <c r="E1360" s="19" t="n"/>
      <c r="F1360" s="19" t="n"/>
      <c r="G1360" s="19" t="n"/>
      <c r="H1360" s="19" t="n"/>
    </row>
    <row r="1361">
      <c r="A1361" s="19" t="n"/>
      <c r="B1361" s="19" t="n"/>
      <c r="C1361" s="19" t="n"/>
      <c r="D1361" s="19" t="n"/>
      <c r="E1361" s="19" t="n"/>
      <c r="F1361" s="19" t="n"/>
      <c r="G1361" s="19" t="n"/>
      <c r="H1361" s="19" t="n"/>
    </row>
    <row r="1362">
      <c r="A1362" s="19" t="n"/>
      <c r="B1362" s="19" t="n"/>
      <c r="C1362" s="19" t="n"/>
      <c r="D1362" s="19" t="n"/>
      <c r="E1362" s="19" t="n"/>
      <c r="F1362" s="19" t="n"/>
      <c r="G1362" s="19" t="n"/>
      <c r="H1362" s="19" t="n"/>
    </row>
    <row r="1363">
      <c r="A1363" s="19" t="n"/>
      <c r="B1363" s="19" t="n"/>
      <c r="C1363" s="19" t="n"/>
      <c r="D1363" s="19" t="n"/>
      <c r="E1363" s="19" t="n"/>
      <c r="F1363" s="19" t="n"/>
      <c r="G1363" s="19" t="n"/>
      <c r="H1363" s="19" t="n"/>
    </row>
    <row r="1364">
      <c r="A1364" s="19" t="n"/>
      <c r="B1364" s="19" t="n"/>
      <c r="C1364" s="19" t="n"/>
      <c r="D1364" s="19" t="n"/>
      <c r="E1364" s="19" t="n"/>
      <c r="F1364" s="19" t="n"/>
      <c r="G1364" s="19" t="n"/>
      <c r="H1364" s="19" t="n"/>
    </row>
    <row r="1365">
      <c r="A1365" s="19" t="n"/>
      <c r="B1365" s="19" t="n"/>
      <c r="C1365" s="19" t="n"/>
      <c r="D1365" s="19" t="n"/>
      <c r="E1365" s="19" t="n"/>
      <c r="F1365" s="19" t="n"/>
      <c r="G1365" s="19" t="n"/>
      <c r="H1365" s="19" t="n"/>
    </row>
    <row r="1366">
      <c r="A1366" s="19" t="n"/>
      <c r="B1366" s="19" t="n"/>
      <c r="C1366" s="19" t="n"/>
      <c r="D1366" s="19" t="n"/>
      <c r="E1366" s="19" t="n"/>
      <c r="F1366" s="19" t="n"/>
      <c r="G1366" s="19" t="n"/>
      <c r="H1366" s="19" t="n"/>
    </row>
    <row r="1367">
      <c r="A1367" s="19" t="n"/>
      <c r="B1367" s="19" t="n"/>
      <c r="C1367" s="19" t="n"/>
      <c r="D1367" s="19" t="n"/>
      <c r="E1367" s="19" t="n"/>
      <c r="F1367" s="19" t="n"/>
      <c r="G1367" s="19" t="n"/>
      <c r="H1367" s="19" t="n"/>
    </row>
    <row r="1368">
      <c r="A1368" s="19" t="n"/>
      <c r="B1368" s="19" t="n"/>
      <c r="C1368" s="19" t="n"/>
      <c r="D1368" s="19" t="n"/>
      <c r="E1368" s="19" t="n"/>
      <c r="F1368" s="19" t="n"/>
      <c r="G1368" s="19" t="n"/>
      <c r="H1368" s="19" t="n"/>
    </row>
    <row r="136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</row>
    <row r="1370">
      <c r="A1370" s="19" t="n"/>
      <c r="B1370" s="19" t="n"/>
      <c r="C1370" s="19" t="n"/>
      <c r="D1370" s="19" t="n"/>
      <c r="E1370" s="19" t="n"/>
      <c r="F1370" s="19" t="n"/>
      <c r="G1370" s="19" t="n"/>
      <c r="H1370" s="19" t="n"/>
    </row>
    <row r="1371">
      <c r="A1371" s="19" t="n"/>
      <c r="B1371" s="19" t="n"/>
      <c r="C1371" s="19" t="n"/>
      <c r="D1371" s="19" t="n"/>
      <c r="E1371" s="19" t="n"/>
      <c r="F1371" s="19" t="n"/>
      <c r="G1371" s="19" t="n"/>
      <c r="H1371" s="19" t="n"/>
    </row>
    <row r="1372">
      <c r="A1372" s="19" t="n"/>
      <c r="B1372" s="19" t="n"/>
      <c r="C1372" s="19" t="n"/>
      <c r="D1372" s="19" t="n"/>
      <c r="E1372" s="19" t="n"/>
      <c r="F1372" s="19" t="n"/>
      <c r="G1372" s="19" t="n"/>
      <c r="H1372" s="19" t="n"/>
    </row>
    <row r="1373">
      <c r="A1373" s="19" t="n"/>
      <c r="B1373" s="19" t="n"/>
      <c r="C1373" s="19" t="n"/>
      <c r="D1373" s="19" t="n"/>
      <c r="E1373" s="19" t="n"/>
      <c r="F1373" s="19" t="n"/>
      <c r="G1373" s="19" t="n"/>
      <c r="H1373" s="19" t="n"/>
    </row>
    <row r="1374">
      <c r="A1374" s="19" t="n"/>
      <c r="B1374" s="19" t="n"/>
      <c r="C1374" s="19" t="n"/>
      <c r="D1374" s="19" t="n"/>
      <c r="E1374" s="19" t="n"/>
      <c r="F1374" s="19" t="n"/>
      <c r="G1374" s="19" t="n"/>
      <c r="H1374" s="19" t="n"/>
    </row>
    <row r="1375">
      <c r="A1375" s="19" t="n"/>
      <c r="B1375" s="19" t="n"/>
      <c r="C1375" s="19" t="n"/>
      <c r="D1375" s="19" t="n"/>
      <c r="E1375" s="19" t="n"/>
      <c r="F1375" s="19" t="n"/>
      <c r="G1375" s="19" t="n"/>
      <c r="H1375" s="19" t="n"/>
    </row>
    <row r="1376">
      <c r="A1376" s="19" t="n"/>
      <c r="B1376" s="19" t="n"/>
      <c r="C1376" s="19" t="n"/>
      <c r="D1376" s="19" t="n"/>
      <c r="E1376" s="19" t="n"/>
      <c r="F1376" s="19" t="n"/>
      <c r="G1376" s="19" t="n"/>
      <c r="H1376" s="19" t="n"/>
    </row>
    <row r="1377">
      <c r="A1377" s="19" t="n"/>
      <c r="B1377" s="19" t="n"/>
      <c r="C1377" s="19" t="n"/>
      <c r="D1377" s="19" t="n"/>
      <c r="E1377" s="19" t="n"/>
      <c r="F1377" s="19" t="n"/>
      <c r="G1377" s="19" t="n"/>
      <c r="H1377" s="19" t="n"/>
    </row>
    <row r="1378">
      <c r="A1378" s="19" t="n"/>
      <c r="B1378" s="19" t="n"/>
      <c r="C1378" s="19" t="n"/>
      <c r="D1378" s="19" t="n"/>
      <c r="E1378" s="19" t="n"/>
      <c r="F1378" s="19" t="n"/>
      <c r="G1378" s="19" t="n"/>
      <c r="H1378" s="19" t="n"/>
    </row>
    <row r="137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</row>
    <row r="1380">
      <c r="A1380" s="19" t="n"/>
      <c r="B1380" s="19" t="n"/>
      <c r="C1380" s="19" t="n"/>
      <c r="D1380" s="19" t="n"/>
      <c r="E1380" s="19" t="n"/>
      <c r="F1380" s="19" t="n"/>
      <c r="G1380" s="19" t="n"/>
      <c r="H1380" s="19" t="n"/>
    </row>
    <row r="1381">
      <c r="A1381" s="19" t="n"/>
      <c r="B1381" s="19" t="n"/>
      <c r="C1381" s="19" t="n"/>
      <c r="D1381" s="19" t="n"/>
      <c r="E1381" s="19" t="n"/>
      <c r="F1381" s="19" t="n"/>
      <c r="G1381" s="19" t="n"/>
      <c r="H1381" s="19" t="n"/>
    </row>
    <row r="1382">
      <c r="A1382" s="19" t="n"/>
      <c r="B1382" s="19" t="n"/>
      <c r="C1382" s="19" t="n"/>
      <c r="D1382" s="19" t="n"/>
      <c r="E1382" s="19" t="n"/>
      <c r="F1382" s="19" t="n"/>
      <c r="G1382" s="19" t="n"/>
      <c r="H1382" s="19" t="n"/>
    </row>
    <row r="1383">
      <c r="A1383" s="19" t="n"/>
      <c r="B1383" s="19" t="n"/>
      <c r="C1383" s="19" t="n"/>
      <c r="D1383" s="19" t="n"/>
      <c r="E1383" s="19" t="n"/>
      <c r="F1383" s="19" t="n"/>
      <c r="G1383" s="19" t="n"/>
      <c r="H1383" s="19" t="n"/>
    </row>
    <row r="1384">
      <c r="A1384" s="19" t="n"/>
      <c r="B1384" s="19" t="n"/>
      <c r="C1384" s="19" t="n"/>
      <c r="D1384" s="19" t="n"/>
      <c r="E1384" s="19" t="n"/>
      <c r="F1384" s="19" t="n"/>
      <c r="G1384" s="19" t="n"/>
      <c r="H1384" s="19" t="n"/>
    </row>
    <row r="1385">
      <c r="A1385" s="19" t="n"/>
      <c r="B1385" s="19" t="n"/>
      <c r="C1385" s="19" t="n"/>
      <c r="D1385" s="19" t="n"/>
      <c r="E1385" s="19" t="n"/>
      <c r="F1385" s="19" t="n"/>
      <c r="G1385" s="19" t="n"/>
      <c r="H1385" s="19" t="n"/>
    </row>
    <row r="1386">
      <c r="A1386" s="19" t="n"/>
      <c r="B1386" s="19" t="n"/>
      <c r="C1386" s="19" t="n"/>
      <c r="D1386" s="19" t="n"/>
      <c r="E1386" s="19" t="n"/>
      <c r="F1386" s="19" t="n"/>
      <c r="G1386" s="19" t="n"/>
      <c r="H1386" s="19" t="n"/>
    </row>
    <row r="1387">
      <c r="A1387" s="19" t="n"/>
      <c r="B1387" s="19" t="n"/>
      <c r="C1387" s="19" t="n"/>
      <c r="D1387" s="19" t="n"/>
      <c r="E1387" s="19" t="n"/>
      <c r="F1387" s="19" t="n"/>
      <c r="G1387" s="19" t="n"/>
      <c r="H1387" s="19" t="n"/>
    </row>
    <row r="1388">
      <c r="A1388" s="19" t="n"/>
      <c r="B1388" s="19" t="n"/>
      <c r="C1388" s="19" t="n"/>
      <c r="D1388" s="19" t="n"/>
      <c r="E1388" s="19" t="n"/>
      <c r="F1388" s="19" t="n"/>
      <c r="G1388" s="19" t="n"/>
      <c r="H1388" s="19" t="n"/>
    </row>
    <row r="138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</row>
    <row r="1390">
      <c r="A1390" s="19" t="n"/>
      <c r="B1390" s="19" t="n"/>
      <c r="C1390" s="19" t="n"/>
      <c r="D1390" s="19" t="n"/>
      <c r="E1390" s="19" t="n"/>
      <c r="F1390" s="19" t="n"/>
      <c r="G1390" s="19" t="n"/>
      <c r="H1390" s="19" t="n"/>
    </row>
    <row r="1391">
      <c r="A1391" s="19" t="n"/>
      <c r="B1391" s="19" t="n"/>
      <c r="C1391" s="19" t="n"/>
      <c r="D1391" s="19" t="n"/>
      <c r="E1391" s="19" t="n"/>
      <c r="F1391" s="19" t="n"/>
      <c r="G1391" s="19" t="n"/>
      <c r="H1391" s="19" t="n"/>
    </row>
    <row r="1392">
      <c r="A1392" s="19" t="n"/>
      <c r="B1392" s="19" t="n"/>
      <c r="C1392" s="19" t="n"/>
      <c r="D1392" s="19" t="n"/>
      <c r="E1392" s="19" t="n"/>
      <c r="F1392" s="19" t="n"/>
      <c r="G1392" s="19" t="n"/>
      <c r="H1392" s="19" t="n"/>
    </row>
    <row r="1393">
      <c r="A1393" s="19" t="n"/>
      <c r="B1393" s="19" t="n"/>
      <c r="C1393" s="19" t="n"/>
      <c r="D1393" s="19" t="n"/>
      <c r="E1393" s="19" t="n"/>
      <c r="F1393" s="19" t="n"/>
      <c r="G1393" s="19" t="n"/>
      <c r="H1393" s="19" t="n"/>
    </row>
    <row r="1394">
      <c r="A1394" s="19" t="n"/>
      <c r="B1394" s="19" t="n"/>
      <c r="C1394" s="19" t="n"/>
      <c r="D1394" s="19" t="n"/>
      <c r="E1394" s="19" t="n"/>
      <c r="F1394" s="19" t="n"/>
      <c r="G1394" s="19" t="n"/>
      <c r="H1394" s="19" t="n"/>
    </row>
    <row r="1395">
      <c r="A1395" s="19" t="n"/>
      <c r="B1395" s="19" t="n"/>
      <c r="C1395" s="19" t="n"/>
      <c r="D1395" s="19" t="n"/>
      <c r="E1395" s="19" t="n"/>
      <c r="F1395" s="19" t="n"/>
      <c r="G1395" s="19" t="n"/>
      <c r="H1395" s="19" t="n"/>
    </row>
    <row r="1396">
      <c r="A1396" s="19" t="n"/>
      <c r="B1396" s="19" t="n"/>
      <c r="C1396" s="19" t="n"/>
      <c r="D1396" s="19" t="n"/>
      <c r="E1396" s="19" t="n"/>
      <c r="F1396" s="19" t="n"/>
      <c r="G1396" s="19" t="n"/>
      <c r="H1396" s="19" t="n"/>
    </row>
    <row r="1397">
      <c r="A1397" s="19" t="n"/>
      <c r="B1397" s="19" t="n"/>
      <c r="C1397" s="19" t="n"/>
      <c r="D1397" s="19" t="n"/>
      <c r="E1397" s="19" t="n"/>
      <c r="F1397" s="19" t="n"/>
      <c r="G1397" s="19" t="n"/>
      <c r="H1397" s="19" t="n"/>
    </row>
    <row r="1398">
      <c r="A1398" s="19" t="n"/>
      <c r="B1398" s="19" t="n"/>
      <c r="C1398" s="19" t="n"/>
      <c r="D1398" s="19" t="n"/>
      <c r="E1398" s="19" t="n"/>
      <c r="F1398" s="19" t="n"/>
      <c r="G1398" s="19" t="n"/>
      <c r="H1398" s="19" t="n"/>
    </row>
    <row r="139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</row>
    <row r="1400">
      <c r="A1400" s="19" t="n"/>
      <c r="B1400" s="19" t="n"/>
      <c r="C1400" s="19" t="n"/>
      <c r="D1400" s="19" t="n"/>
      <c r="E1400" s="19" t="n"/>
      <c r="F1400" s="19" t="n"/>
      <c r="G1400" s="19" t="n"/>
      <c r="H1400" s="19" t="n"/>
    </row>
    <row r="1401">
      <c r="A1401" s="19" t="n"/>
      <c r="B1401" s="19" t="n"/>
      <c r="C1401" s="19" t="n"/>
      <c r="D1401" s="19" t="n"/>
      <c r="E1401" s="19" t="n"/>
      <c r="F1401" s="19" t="n"/>
      <c r="G1401" s="19" t="n"/>
      <c r="H1401" s="19" t="n"/>
    </row>
    <row r="1402">
      <c r="A1402" s="19" t="n"/>
      <c r="B1402" s="19" t="n"/>
      <c r="C1402" s="19" t="n"/>
      <c r="D1402" s="19" t="n"/>
      <c r="E1402" s="19" t="n"/>
      <c r="F1402" s="19" t="n"/>
      <c r="G1402" s="19" t="n"/>
      <c r="H1402" s="19" t="n"/>
    </row>
    <row r="1403">
      <c r="A1403" s="19" t="n"/>
      <c r="B1403" s="19" t="n"/>
      <c r="C1403" s="19" t="n"/>
      <c r="D1403" s="19" t="n"/>
      <c r="E1403" s="19" t="n"/>
      <c r="F1403" s="19" t="n"/>
      <c r="G1403" s="19" t="n"/>
      <c r="H1403" s="19" t="n"/>
    </row>
    <row r="1404">
      <c r="A1404" s="19" t="n"/>
      <c r="B1404" s="19" t="n"/>
      <c r="C1404" s="19" t="n"/>
      <c r="D1404" s="19" t="n"/>
      <c r="E1404" s="19" t="n"/>
      <c r="F1404" s="19" t="n"/>
      <c r="G1404" s="19" t="n"/>
      <c r="H1404" s="19" t="n"/>
    </row>
    <row r="1405">
      <c r="A1405" s="19" t="n"/>
      <c r="B1405" s="19" t="n"/>
      <c r="C1405" s="19" t="n"/>
      <c r="D1405" s="19" t="n"/>
      <c r="E1405" s="19" t="n"/>
      <c r="F1405" s="19" t="n"/>
      <c r="G1405" s="19" t="n"/>
      <c r="H1405" s="19" t="n"/>
    </row>
    <row r="1406">
      <c r="A1406" s="19" t="n"/>
      <c r="B1406" s="19" t="n"/>
      <c r="C1406" s="19" t="n"/>
      <c r="D1406" s="19" t="n"/>
      <c r="E1406" s="19" t="n"/>
      <c r="F1406" s="19" t="n"/>
      <c r="G1406" s="19" t="n"/>
      <c r="H1406" s="19" t="n"/>
    </row>
    <row r="1407">
      <c r="A1407" s="19" t="n"/>
      <c r="B1407" s="19" t="n"/>
      <c r="C1407" s="19" t="n"/>
      <c r="D1407" s="19" t="n"/>
      <c r="E1407" s="19" t="n"/>
      <c r="F1407" s="19" t="n"/>
      <c r="G1407" s="19" t="n"/>
      <c r="H1407" s="19" t="n"/>
    </row>
    <row r="1408">
      <c r="A1408" s="19" t="n"/>
      <c r="B1408" s="19" t="n"/>
      <c r="C1408" s="19" t="n"/>
      <c r="D1408" s="19" t="n"/>
      <c r="E1408" s="19" t="n"/>
      <c r="F1408" s="19" t="n"/>
      <c r="G1408" s="19" t="n"/>
      <c r="H1408" s="19" t="n"/>
    </row>
    <row r="140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</row>
    <row r="1410">
      <c r="A1410" s="19" t="n"/>
      <c r="B1410" s="19" t="n"/>
      <c r="C1410" s="19" t="n"/>
      <c r="D1410" s="19" t="n"/>
      <c r="E1410" s="19" t="n"/>
      <c r="F1410" s="19" t="n"/>
      <c r="G1410" s="19" t="n"/>
      <c r="H1410" s="19" t="n"/>
    </row>
    <row r="1411">
      <c r="A1411" s="19" t="n"/>
      <c r="B1411" s="19" t="n"/>
      <c r="C1411" s="19" t="n"/>
      <c r="D1411" s="19" t="n"/>
      <c r="E1411" s="19" t="n"/>
      <c r="F1411" s="19" t="n"/>
      <c r="G1411" s="19" t="n"/>
      <c r="H1411" s="19" t="n"/>
    </row>
    <row r="1412">
      <c r="A1412" s="19" t="n"/>
      <c r="B1412" s="19" t="n"/>
      <c r="C1412" s="19" t="n"/>
      <c r="D1412" s="19" t="n"/>
      <c r="E1412" s="19" t="n"/>
      <c r="F1412" s="19" t="n"/>
      <c r="G1412" s="19" t="n"/>
      <c r="H1412" s="19" t="n"/>
    </row>
    <row r="1413">
      <c r="A1413" s="19" t="n"/>
      <c r="B1413" s="19" t="n"/>
      <c r="C1413" s="19" t="n"/>
      <c r="D1413" s="19" t="n"/>
      <c r="E1413" s="19" t="n"/>
      <c r="F1413" s="19" t="n"/>
      <c r="G1413" s="19" t="n"/>
      <c r="H1413" s="19" t="n"/>
    </row>
    <row r="1414">
      <c r="A1414" s="19" t="n"/>
      <c r="B1414" s="19" t="n"/>
      <c r="C1414" s="19" t="n"/>
      <c r="D1414" s="19" t="n"/>
      <c r="E1414" s="19" t="n"/>
      <c r="F1414" s="19" t="n"/>
      <c r="G1414" s="19" t="n"/>
      <c r="H1414" s="19" t="n"/>
    </row>
    <row r="1415">
      <c r="A1415" s="19" t="n"/>
      <c r="B1415" s="19" t="n"/>
      <c r="C1415" s="19" t="n"/>
      <c r="D1415" s="19" t="n"/>
      <c r="E1415" s="19" t="n"/>
      <c r="F1415" s="19" t="n"/>
      <c r="G1415" s="19" t="n"/>
      <c r="H1415" s="19" t="n"/>
    </row>
    <row r="1416">
      <c r="A1416" s="19" t="n"/>
      <c r="B1416" s="19" t="n"/>
      <c r="C1416" s="19" t="n"/>
      <c r="D1416" s="19" t="n"/>
      <c r="E1416" s="19" t="n"/>
      <c r="F1416" s="19" t="n"/>
      <c r="G1416" s="19" t="n"/>
      <c r="H1416" s="19" t="n"/>
    </row>
    <row r="1417">
      <c r="A1417" s="19" t="n"/>
      <c r="B1417" s="19" t="n"/>
      <c r="C1417" s="19" t="n"/>
      <c r="D1417" s="19" t="n"/>
      <c r="E1417" s="19" t="n"/>
      <c r="F1417" s="19" t="n"/>
      <c r="G1417" s="19" t="n"/>
      <c r="H1417" s="19" t="n"/>
    </row>
    <row r="1418">
      <c r="A1418" s="19" t="n"/>
      <c r="B1418" s="19" t="n"/>
      <c r="C1418" s="19" t="n"/>
      <c r="D1418" s="19" t="n"/>
      <c r="E1418" s="19" t="n"/>
      <c r="F1418" s="19" t="n"/>
      <c r="G1418" s="19" t="n"/>
      <c r="H1418" s="19" t="n"/>
    </row>
    <row r="141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</row>
    <row r="1420">
      <c r="A1420" s="19" t="n"/>
      <c r="B1420" s="19" t="n"/>
      <c r="C1420" s="19" t="n"/>
      <c r="D1420" s="19" t="n"/>
      <c r="E1420" s="19" t="n"/>
      <c r="F1420" s="19" t="n"/>
      <c r="G1420" s="19" t="n"/>
      <c r="H1420" s="19" t="n"/>
    </row>
    <row r="1421">
      <c r="A1421" s="19" t="n"/>
      <c r="B1421" s="19" t="n"/>
      <c r="C1421" s="19" t="n"/>
      <c r="D1421" s="19" t="n"/>
      <c r="E1421" s="19" t="n"/>
      <c r="F1421" s="19" t="n"/>
      <c r="G1421" s="19" t="n"/>
      <c r="H1421" s="19" t="n"/>
    </row>
    <row r="1422">
      <c r="A1422" s="19" t="n"/>
      <c r="B1422" s="19" t="n"/>
      <c r="C1422" s="19" t="n"/>
      <c r="D1422" s="19" t="n"/>
      <c r="E1422" s="19" t="n"/>
      <c r="F1422" s="19" t="n"/>
      <c r="G1422" s="19" t="n"/>
      <c r="H1422" s="19" t="n"/>
    </row>
    <row r="1423">
      <c r="A1423" s="19" t="n"/>
      <c r="B1423" s="19" t="n"/>
      <c r="C1423" s="19" t="n"/>
      <c r="D1423" s="19" t="n"/>
      <c r="E1423" s="19" t="n"/>
      <c r="F1423" s="19" t="n"/>
      <c r="G1423" s="19" t="n"/>
      <c r="H1423" s="19" t="n"/>
    </row>
    <row r="1424">
      <c r="A1424" s="19" t="n"/>
      <c r="B1424" s="19" t="n"/>
      <c r="C1424" s="19" t="n"/>
      <c r="D1424" s="19" t="n"/>
      <c r="E1424" s="19" t="n"/>
      <c r="F1424" s="19" t="n"/>
      <c r="G1424" s="19" t="n"/>
      <c r="H1424" s="19" t="n"/>
    </row>
    <row r="1425">
      <c r="A1425" s="19" t="n"/>
      <c r="B1425" s="19" t="n"/>
      <c r="C1425" s="19" t="n"/>
      <c r="D1425" s="19" t="n"/>
      <c r="E1425" s="19" t="n"/>
      <c r="F1425" s="19" t="n"/>
      <c r="G1425" s="19" t="n"/>
      <c r="H1425" s="19" t="n"/>
    </row>
    <row r="1426">
      <c r="A1426" s="19" t="n"/>
      <c r="B1426" s="19" t="n"/>
      <c r="C1426" s="19" t="n"/>
      <c r="D1426" s="19" t="n"/>
      <c r="E1426" s="19" t="n"/>
      <c r="F1426" s="19" t="n"/>
      <c r="G1426" s="19" t="n"/>
      <c r="H1426" s="19" t="n"/>
    </row>
    <row r="1427">
      <c r="A1427" s="19" t="n"/>
      <c r="B1427" s="19" t="n"/>
      <c r="C1427" s="19" t="n"/>
      <c r="D1427" s="19" t="n"/>
      <c r="E1427" s="19" t="n"/>
      <c r="F1427" s="19" t="n"/>
      <c r="G1427" s="19" t="n"/>
      <c r="H1427" s="19" t="n"/>
    </row>
    <row r="1428">
      <c r="A1428" s="19" t="n"/>
      <c r="B1428" s="19" t="n"/>
      <c r="C1428" s="19" t="n"/>
      <c r="D1428" s="19" t="n"/>
      <c r="E1428" s="19" t="n"/>
      <c r="F1428" s="19" t="n"/>
      <c r="G1428" s="19" t="n"/>
      <c r="H1428" s="19" t="n"/>
    </row>
    <row r="142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</row>
    <row r="1430">
      <c r="A1430" s="19" t="n"/>
      <c r="B1430" s="19" t="n"/>
      <c r="C1430" s="19" t="n"/>
      <c r="D1430" s="19" t="n"/>
      <c r="E1430" s="19" t="n"/>
      <c r="F1430" s="19" t="n"/>
      <c r="G1430" s="19" t="n"/>
      <c r="H1430" s="19" t="n"/>
    </row>
    <row r="1431">
      <c r="A1431" s="19" t="n"/>
      <c r="B1431" s="19" t="n"/>
      <c r="C1431" s="19" t="n"/>
      <c r="D1431" s="19" t="n"/>
      <c r="E1431" s="19" t="n"/>
      <c r="F1431" s="19" t="n"/>
      <c r="G1431" s="19" t="n"/>
      <c r="H1431" s="19" t="n"/>
    </row>
    <row r="1432">
      <c r="A1432" s="19" t="n"/>
      <c r="B1432" s="19" t="n"/>
      <c r="C1432" s="19" t="n"/>
      <c r="D1432" s="19" t="n"/>
      <c r="E1432" s="19" t="n"/>
      <c r="F1432" s="19" t="n"/>
      <c r="G1432" s="19" t="n"/>
      <c r="H1432" s="19" t="n"/>
    </row>
    <row r="1433">
      <c r="A1433" s="19" t="n"/>
      <c r="B1433" s="19" t="n"/>
      <c r="C1433" s="19" t="n"/>
      <c r="D1433" s="19" t="n"/>
      <c r="E1433" s="19" t="n"/>
      <c r="F1433" s="19" t="n"/>
      <c r="G1433" s="19" t="n"/>
      <c r="H1433" s="19" t="n"/>
    </row>
    <row r="1434">
      <c r="A1434" s="19" t="n"/>
      <c r="B1434" s="19" t="n"/>
      <c r="C1434" s="19" t="n"/>
      <c r="D1434" s="19" t="n"/>
      <c r="E1434" s="19" t="n"/>
      <c r="F1434" s="19" t="n"/>
      <c r="G1434" s="19" t="n"/>
      <c r="H1434" s="19" t="n"/>
    </row>
    <row r="1435">
      <c r="A1435" s="19" t="n"/>
      <c r="B1435" s="19" t="n"/>
      <c r="C1435" s="19" t="n"/>
      <c r="D1435" s="19" t="n"/>
      <c r="E1435" s="19" t="n"/>
      <c r="F1435" s="19" t="n"/>
      <c r="G1435" s="19" t="n"/>
      <c r="H1435" s="19" t="n"/>
    </row>
    <row r="1436">
      <c r="A1436" s="19" t="n"/>
      <c r="B1436" s="19" t="n"/>
      <c r="C1436" s="19" t="n"/>
      <c r="D1436" s="19" t="n"/>
      <c r="E1436" s="19" t="n"/>
      <c r="F1436" s="19" t="n"/>
      <c r="G1436" s="19" t="n"/>
      <c r="H1436" s="19" t="n"/>
    </row>
    <row r="1437">
      <c r="A1437" s="19" t="n"/>
      <c r="B1437" s="19" t="n"/>
      <c r="C1437" s="19" t="n"/>
      <c r="D1437" s="19" t="n"/>
      <c r="E1437" s="19" t="n"/>
      <c r="F1437" s="19" t="n"/>
      <c r="G1437" s="19" t="n"/>
      <c r="H1437" s="19" t="n"/>
    </row>
    <row r="1438">
      <c r="A1438" s="19" t="n"/>
      <c r="B1438" s="19" t="n"/>
      <c r="C1438" s="19" t="n"/>
      <c r="D1438" s="19" t="n"/>
      <c r="E1438" s="19" t="n"/>
      <c r="F1438" s="19" t="n"/>
      <c r="G1438" s="19" t="n"/>
      <c r="H1438" s="19" t="n"/>
    </row>
    <row r="14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</row>
    <row r="1440">
      <c r="A1440" s="19" t="n"/>
      <c r="B1440" s="19" t="n"/>
      <c r="C1440" s="19" t="n"/>
      <c r="D1440" s="19" t="n"/>
      <c r="E1440" s="19" t="n"/>
      <c r="F1440" s="19" t="n"/>
      <c r="G1440" s="19" t="n"/>
      <c r="H1440" s="19" t="n"/>
    </row>
    <row r="1441">
      <c r="A1441" s="19" t="n"/>
      <c r="B1441" s="19" t="n"/>
      <c r="C1441" s="19" t="n"/>
      <c r="D1441" s="19" t="n"/>
      <c r="E1441" s="19" t="n"/>
      <c r="F1441" s="19" t="n"/>
      <c r="G1441" s="19" t="n"/>
      <c r="H1441" s="19" t="n"/>
    </row>
    <row r="1442">
      <c r="A1442" s="19" t="n"/>
      <c r="B1442" s="19" t="n"/>
      <c r="C1442" s="19" t="n"/>
      <c r="D1442" s="19" t="n"/>
      <c r="E1442" s="19" t="n"/>
      <c r="F1442" s="19" t="n"/>
      <c r="G1442" s="19" t="n"/>
      <c r="H1442" s="19" t="n"/>
    </row>
    <row r="1443">
      <c r="A1443" s="19" t="n"/>
      <c r="B1443" s="19" t="n"/>
      <c r="C1443" s="19" t="n"/>
      <c r="D1443" s="19" t="n"/>
      <c r="E1443" s="19" t="n"/>
      <c r="F1443" s="19" t="n"/>
      <c r="G1443" s="19" t="n"/>
      <c r="H1443" s="19" t="n"/>
    </row>
    <row r="1444">
      <c r="A1444" s="19" t="n"/>
      <c r="B1444" s="19" t="n"/>
      <c r="C1444" s="19" t="n"/>
      <c r="D1444" s="19" t="n"/>
      <c r="E1444" s="19" t="n"/>
      <c r="F1444" s="19" t="n"/>
      <c r="G1444" s="19" t="n"/>
      <c r="H1444" s="19" t="n"/>
    </row>
    <row r="1445">
      <c r="A1445" s="19" t="n"/>
      <c r="B1445" s="19" t="n"/>
      <c r="C1445" s="19" t="n"/>
      <c r="D1445" s="19" t="n"/>
      <c r="E1445" s="19" t="n"/>
      <c r="F1445" s="19" t="n"/>
      <c r="G1445" s="19" t="n"/>
      <c r="H1445" s="19" t="n"/>
    </row>
    <row r="1446">
      <c r="A1446" s="19" t="n"/>
      <c r="B1446" s="19" t="n"/>
      <c r="C1446" s="19" t="n"/>
      <c r="D1446" s="19" t="n"/>
      <c r="E1446" s="19" t="n"/>
      <c r="F1446" s="19" t="n"/>
      <c r="G1446" s="19" t="n"/>
      <c r="H1446" s="19" t="n"/>
    </row>
    <row r="1447">
      <c r="A1447" s="19" t="n"/>
      <c r="B1447" s="19" t="n"/>
      <c r="C1447" s="19" t="n"/>
      <c r="D1447" s="19" t="n"/>
      <c r="E1447" s="19" t="n"/>
      <c r="F1447" s="19" t="n"/>
      <c r="G1447" s="19" t="n"/>
      <c r="H1447" s="19" t="n"/>
    </row>
    <row r="1448">
      <c r="A1448" s="19" t="n"/>
      <c r="B1448" s="19" t="n"/>
      <c r="C1448" s="19" t="n"/>
      <c r="D1448" s="19" t="n"/>
      <c r="E1448" s="19" t="n"/>
      <c r="F1448" s="19" t="n"/>
      <c r="G1448" s="19" t="n"/>
      <c r="H1448" s="19" t="n"/>
    </row>
    <row r="144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</row>
    <row r="1450">
      <c r="A1450" s="19" t="n"/>
      <c r="B1450" s="19" t="n"/>
      <c r="C1450" s="19" t="n"/>
      <c r="D1450" s="19" t="n"/>
      <c r="E1450" s="19" t="n"/>
      <c r="F1450" s="19" t="n"/>
      <c r="G1450" s="19" t="n"/>
      <c r="H1450" s="19" t="n"/>
    </row>
    <row r="1451">
      <c r="A1451" s="19" t="n"/>
      <c r="B1451" s="19" t="n"/>
      <c r="C1451" s="19" t="n"/>
      <c r="D1451" s="19" t="n"/>
      <c r="E1451" s="19" t="n"/>
      <c r="F1451" s="19" t="n"/>
      <c r="G1451" s="19" t="n"/>
      <c r="H1451" s="19" t="n"/>
    </row>
    <row r="1452">
      <c r="A1452" s="19" t="n"/>
      <c r="B1452" s="19" t="n"/>
      <c r="C1452" s="19" t="n"/>
      <c r="D1452" s="19" t="n"/>
      <c r="E1452" s="19" t="n"/>
      <c r="F1452" s="19" t="n"/>
      <c r="G1452" s="19" t="n"/>
      <c r="H1452" s="19" t="n"/>
    </row>
    <row r="1453">
      <c r="A1453" s="19" t="n"/>
      <c r="B1453" s="19" t="n"/>
      <c r="C1453" s="19" t="n"/>
      <c r="D1453" s="19" t="n"/>
      <c r="E1453" s="19" t="n"/>
      <c r="F1453" s="19" t="n"/>
      <c r="G1453" s="19" t="n"/>
      <c r="H1453" s="19" t="n"/>
    </row>
    <row r="1454">
      <c r="A1454" s="19" t="n"/>
      <c r="B1454" s="19" t="n"/>
      <c r="C1454" s="19" t="n"/>
      <c r="D1454" s="19" t="n"/>
      <c r="E1454" s="19" t="n"/>
      <c r="F1454" s="19" t="n"/>
      <c r="G1454" s="19" t="n"/>
      <c r="H1454" s="19" t="n"/>
    </row>
    <row r="1455">
      <c r="A1455" s="19" t="n"/>
      <c r="B1455" s="19" t="n"/>
      <c r="C1455" s="19" t="n"/>
      <c r="D1455" s="19" t="n"/>
      <c r="E1455" s="19" t="n"/>
      <c r="F1455" s="19" t="n"/>
      <c r="G1455" s="19" t="n"/>
      <c r="H1455" s="19" t="n"/>
    </row>
    <row r="1456">
      <c r="A1456" s="19" t="n"/>
      <c r="B1456" s="19" t="n"/>
      <c r="C1456" s="19" t="n"/>
      <c r="D1456" s="19" t="n"/>
      <c r="E1456" s="19" t="n"/>
      <c r="F1456" s="19" t="n"/>
      <c r="G1456" s="19" t="n"/>
      <c r="H1456" s="19" t="n"/>
    </row>
    <row r="1457">
      <c r="A1457" s="19" t="n"/>
      <c r="B1457" s="19" t="n"/>
      <c r="C1457" s="19" t="n"/>
      <c r="D1457" s="19" t="n"/>
      <c r="E1457" s="19" t="n"/>
      <c r="F1457" s="19" t="n"/>
      <c r="G1457" s="19" t="n"/>
      <c r="H1457" s="19" t="n"/>
    </row>
    <row r="1458">
      <c r="A1458" s="19" t="n"/>
      <c r="B1458" s="19" t="n"/>
      <c r="C1458" s="19" t="n"/>
      <c r="D1458" s="19" t="n"/>
      <c r="E1458" s="19" t="n"/>
      <c r="F1458" s="19" t="n"/>
      <c r="G1458" s="19" t="n"/>
      <c r="H1458" s="19" t="n"/>
    </row>
    <row r="145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</row>
    <row r="1460">
      <c r="A1460" s="19" t="n"/>
      <c r="B1460" s="19" t="n"/>
      <c r="C1460" s="19" t="n"/>
      <c r="D1460" s="19" t="n"/>
      <c r="E1460" s="19" t="n"/>
      <c r="F1460" s="19" t="n"/>
      <c r="G1460" s="19" t="n"/>
      <c r="H1460" s="19" t="n"/>
    </row>
    <row r="1461">
      <c r="A1461" s="19" t="n"/>
      <c r="B1461" s="19" t="n"/>
      <c r="C1461" s="19" t="n"/>
      <c r="D1461" s="19" t="n"/>
      <c r="E1461" s="19" t="n"/>
      <c r="F1461" s="19" t="n"/>
      <c r="G1461" s="19" t="n"/>
      <c r="H1461" s="19" t="n"/>
    </row>
    <row r="1462">
      <c r="A1462" s="19" t="n"/>
      <c r="B1462" s="19" t="n"/>
      <c r="C1462" s="19" t="n"/>
      <c r="D1462" s="19" t="n"/>
      <c r="E1462" s="19" t="n"/>
      <c r="F1462" s="19" t="n"/>
      <c r="G1462" s="19" t="n"/>
      <c r="H1462" s="19" t="n"/>
    </row>
    <row r="1463">
      <c r="A1463" s="19" t="n"/>
      <c r="B1463" s="19" t="n"/>
      <c r="C1463" s="19" t="n"/>
      <c r="D1463" s="19" t="n"/>
      <c r="E1463" s="19" t="n"/>
      <c r="F1463" s="19" t="n"/>
      <c r="G1463" s="19" t="n"/>
      <c r="H1463" s="19" t="n"/>
    </row>
    <row r="1464">
      <c r="A1464" s="19" t="n"/>
      <c r="B1464" s="19" t="n"/>
      <c r="C1464" s="19" t="n"/>
      <c r="D1464" s="19" t="n"/>
      <c r="E1464" s="19" t="n"/>
      <c r="F1464" s="19" t="n"/>
      <c r="G1464" s="19" t="n"/>
      <c r="H1464" s="19" t="n"/>
    </row>
    <row r="1465">
      <c r="A1465" s="19" t="n"/>
      <c r="B1465" s="19" t="n"/>
      <c r="C1465" s="19" t="n"/>
      <c r="D1465" s="19" t="n"/>
      <c r="E1465" s="19" t="n"/>
      <c r="F1465" s="19" t="n"/>
      <c r="G1465" s="19" t="n"/>
      <c r="H1465" s="19" t="n"/>
    </row>
    <row r="1466">
      <c r="A1466" s="19" t="n"/>
      <c r="B1466" s="19" t="n"/>
      <c r="C1466" s="19" t="n"/>
      <c r="D1466" s="19" t="n"/>
      <c r="E1466" s="19" t="n"/>
      <c r="F1466" s="19" t="n"/>
      <c r="G1466" s="19" t="n"/>
      <c r="H1466" s="19" t="n"/>
    </row>
    <row r="1467">
      <c r="A1467" s="19" t="n"/>
      <c r="B1467" s="19" t="n"/>
      <c r="C1467" s="19" t="n"/>
      <c r="D1467" s="19" t="n"/>
      <c r="E1467" s="19" t="n"/>
      <c r="F1467" s="19" t="n"/>
      <c r="G1467" s="19" t="n"/>
      <c r="H1467" s="19" t="n"/>
    </row>
    <row r="1468">
      <c r="A1468" s="19" t="n"/>
      <c r="B1468" s="19" t="n"/>
      <c r="C1468" s="19" t="n"/>
      <c r="D1468" s="19" t="n"/>
      <c r="E1468" s="19" t="n"/>
      <c r="F1468" s="19" t="n"/>
      <c r="G1468" s="19" t="n"/>
      <c r="H1468" s="19" t="n"/>
    </row>
    <row r="146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</row>
    <row r="1470">
      <c r="A1470" s="19" t="n"/>
      <c r="B1470" s="19" t="n"/>
      <c r="C1470" s="19" t="n"/>
      <c r="D1470" s="19" t="n"/>
      <c r="E1470" s="19" t="n"/>
      <c r="F1470" s="19" t="n"/>
      <c r="G1470" s="19" t="n"/>
      <c r="H1470" s="19" t="n"/>
    </row>
    <row r="1471">
      <c r="A1471" s="19" t="n"/>
      <c r="B1471" s="19" t="n"/>
      <c r="C1471" s="19" t="n"/>
      <c r="D1471" s="19" t="n"/>
      <c r="E1471" s="19" t="n"/>
      <c r="F1471" s="19" t="n"/>
      <c r="G1471" s="19" t="n"/>
      <c r="H1471" s="19" t="n"/>
    </row>
    <row r="1472">
      <c r="A1472" s="19" t="n"/>
      <c r="B1472" s="19" t="n"/>
      <c r="C1472" s="19" t="n"/>
      <c r="D1472" s="19" t="n"/>
      <c r="E1472" s="19" t="n"/>
      <c r="F1472" s="19" t="n"/>
      <c r="G1472" s="19" t="n"/>
      <c r="H1472" s="19" t="n"/>
    </row>
    <row r="1473">
      <c r="A1473" s="19" t="n"/>
      <c r="B1473" s="19" t="n"/>
      <c r="C1473" s="19" t="n"/>
      <c r="D1473" s="19" t="n"/>
      <c r="E1473" s="19" t="n"/>
      <c r="F1473" s="19" t="n"/>
      <c r="G1473" s="19" t="n"/>
      <c r="H1473" s="19" t="n"/>
    </row>
    <row r="1474">
      <c r="A1474" s="19" t="n"/>
      <c r="B1474" s="19" t="n"/>
      <c r="C1474" s="19" t="n"/>
      <c r="D1474" s="19" t="n"/>
      <c r="E1474" s="19" t="n"/>
      <c r="F1474" s="19" t="n"/>
      <c r="G1474" s="19" t="n"/>
      <c r="H1474" s="19" t="n"/>
    </row>
    <row r="1475">
      <c r="A1475" s="19" t="n"/>
      <c r="B1475" s="19" t="n"/>
      <c r="C1475" s="19" t="n"/>
      <c r="D1475" s="19" t="n"/>
      <c r="E1475" s="19" t="n"/>
      <c r="F1475" s="19" t="n"/>
      <c r="G1475" s="19" t="n"/>
      <c r="H1475" s="19" t="n"/>
    </row>
    <row r="1476">
      <c r="A1476" s="19" t="n"/>
      <c r="B1476" s="19" t="n"/>
      <c r="C1476" s="19" t="n"/>
      <c r="D1476" s="19" t="n"/>
      <c r="E1476" s="19" t="n"/>
      <c r="F1476" s="19" t="n"/>
      <c r="G1476" s="19" t="n"/>
      <c r="H1476" s="19" t="n"/>
    </row>
    <row r="1477">
      <c r="A1477" s="19" t="n"/>
      <c r="B1477" s="19" t="n"/>
      <c r="C1477" s="19" t="n"/>
      <c r="D1477" s="19" t="n"/>
      <c r="E1477" s="19" t="n"/>
      <c r="F1477" s="19" t="n"/>
      <c r="G1477" s="19" t="n"/>
      <c r="H1477" s="19" t="n"/>
    </row>
    <row r="1478">
      <c r="A1478" s="19" t="n"/>
      <c r="B1478" s="19" t="n"/>
      <c r="C1478" s="19" t="n"/>
      <c r="D1478" s="19" t="n"/>
      <c r="E1478" s="19" t="n"/>
      <c r="F1478" s="19" t="n"/>
      <c r="G1478" s="19" t="n"/>
      <c r="H1478" s="19" t="n"/>
    </row>
    <row r="147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</row>
    <row r="1480">
      <c r="A1480" s="19" t="n"/>
      <c r="B1480" s="19" t="n"/>
      <c r="C1480" s="19" t="n"/>
      <c r="D1480" s="19" t="n"/>
      <c r="E1480" s="19" t="n"/>
      <c r="F1480" s="19" t="n"/>
      <c r="G1480" s="19" t="n"/>
      <c r="H1480" s="19" t="n"/>
    </row>
    <row r="1481">
      <c r="A1481" s="19" t="n"/>
      <c r="B1481" s="19" t="n"/>
      <c r="C1481" s="19" t="n"/>
      <c r="D1481" s="19" t="n"/>
      <c r="E1481" s="19" t="n"/>
      <c r="F1481" s="19" t="n"/>
      <c r="G1481" s="19" t="n"/>
      <c r="H1481" s="19" t="n"/>
    </row>
    <row r="1482">
      <c r="A1482" s="19" t="n"/>
      <c r="B1482" s="19" t="n"/>
      <c r="C1482" s="19" t="n"/>
      <c r="D1482" s="19" t="n"/>
      <c r="E1482" s="19" t="n"/>
      <c r="F1482" s="19" t="n"/>
      <c r="G1482" s="19" t="n"/>
      <c r="H1482" s="19" t="n"/>
    </row>
    <row r="1483">
      <c r="A1483" s="19" t="n"/>
      <c r="B1483" s="19" t="n"/>
      <c r="C1483" s="19" t="n"/>
      <c r="D1483" s="19" t="n"/>
      <c r="E1483" s="19" t="n"/>
      <c r="F1483" s="19" t="n"/>
      <c r="G1483" s="19" t="n"/>
      <c r="H1483" s="19" t="n"/>
    </row>
    <row r="1484">
      <c r="A1484" s="19" t="n"/>
      <c r="B1484" s="19" t="n"/>
      <c r="C1484" s="19" t="n"/>
      <c r="D1484" s="19" t="n"/>
      <c r="E1484" s="19" t="n"/>
      <c r="F1484" s="19" t="n"/>
      <c r="G1484" s="19" t="n"/>
      <c r="H1484" s="19" t="n"/>
    </row>
    <row r="1485">
      <c r="A1485" s="19" t="n"/>
      <c r="B1485" s="19" t="n"/>
      <c r="C1485" s="19" t="n"/>
      <c r="D1485" s="19" t="n"/>
      <c r="E1485" s="19" t="n"/>
      <c r="F1485" s="19" t="n"/>
      <c r="G1485" s="19" t="n"/>
      <c r="H1485" s="19" t="n"/>
    </row>
    <row r="1486">
      <c r="A1486" s="19" t="n"/>
      <c r="B1486" s="19" t="n"/>
      <c r="C1486" s="19" t="n"/>
      <c r="D1486" s="19" t="n"/>
      <c r="E1486" s="19" t="n"/>
      <c r="F1486" s="19" t="n"/>
      <c r="G1486" s="19" t="n"/>
      <c r="H1486" s="19" t="n"/>
    </row>
    <row r="1487">
      <c r="A1487" s="19" t="n"/>
      <c r="B1487" s="19" t="n"/>
      <c r="C1487" s="19" t="n"/>
      <c r="D1487" s="19" t="n"/>
      <c r="E1487" s="19" t="n"/>
      <c r="F1487" s="19" t="n"/>
      <c r="G1487" s="19" t="n"/>
      <c r="H1487" s="19" t="n"/>
    </row>
    <row r="1488">
      <c r="A1488" s="19" t="n"/>
      <c r="B1488" s="19" t="n"/>
      <c r="C1488" s="19" t="n"/>
      <c r="D1488" s="19" t="n"/>
      <c r="E1488" s="19" t="n"/>
      <c r="F1488" s="19" t="n"/>
      <c r="G1488" s="19" t="n"/>
      <c r="H1488" s="19" t="n"/>
    </row>
    <row r="148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</row>
    <row r="1490">
      <c r="A1490" s="19" t="n"/>
      <c r="B1490" s="19" t="n"/>
      <c r="C1490" s="19" t="n"/>
      <c r="D1490" s="19" t="n"/>
      <c r="E1490" s="19" t="n"/>
      <c r="F1490" s="19" t="n"/>
      <c r="G1490" s="19" t="n"/>
      <c r="H1490" s="19" t="n"/>
    </row>
    <row r="1491">
      <c r="A1491" s="19" t="n"/>
      <c r="B1491" s="19" t="n"/>
      <c r="C1491" s="19" t="n"/>
      <c r="D1491" s="19" t="n"/>
      <c r="E1491" s="19" t="n"/>
      <c r="F1491" s="19" t="n"/>
      <c r="G1491" s="19" t="n"/>
      <c r="H1491" s="19" t="n"/>
    </row>
    <row r="1492">
      <c r="A1492" s="19" t="n"/>
      <c r="B1492" s="19" t="n"/>
      <c r="C1492" s="19" t="n"/>
      <c r="D1492" s="19" t="n"/>
      <c r="E1492" s="19" t="n"/>
      <c r="F1492" s="19" t="n"/>
      <c r="G1492" s="19" t="n"/>
      <c r="H1492" s="19" t="n"/>
    </row>
    <row r="1493">
      <c r="A1493" s="19" t="n"/>
      <c r="B1493" s="19" t="n"/>
      <c r="C1493" s="19" t="n"/>
      <c r="D1493" s="19" t="n"/>
      <c r="E1493" s="19" t="n"/>
      <c r="F1493" s="19" t="n"/>
      <c r="G1493" s="19" t="n"/>
      <c r="H1493" s="19" t="n"/>
    </row>
    <row r="1494">
      <c r="A1494" s="19" t="n"/>
      <c r="B1494" s="19" t="n"/>
      <c r="C1494" s="19" t="n"/>
      <c r="D1494" s="19" t="n"/>
      <c r="E1494" s="19" t="n"/>
      <c r="F1494" s="19" t="n"/>
      <c r="G1494" s="19" t="n"/>
      <c r="H1494" s="19" t="n"/>
    </row>
    <row r="1495">
      <c r="A1495" s="19" t="n"/>
      <c r="B1495" s="19" t="n"/>
      <c r="C1495" s="19" t="n"/>
      <c r="D1495" s="19" t="n"/>
      <c r="E1495" s="19" t="n"/>
      <c r="F1495" s="19" t="n"/>
      <c r="G1495" s="19" t="n"/>
      <c r="H1495" s="19" t="n"/>
    </row>
    <row r="1496">
      <c r="A1496" s="19" t="n"/>
      <c r="B1496" s="19" t="n"/>
      <c r="C1496" s="19" t="n"/>
      <c r="D1496" s="19" t="n"/>
      <c r="E1496" s="19" t="n"/>
      <c r="F1496" s="19" t="n"/>
      <c r="G1496" s="19" t="n"/>
      <c r="H1496" s="19" t="n"/>
    </row>
    <row r="1497">
      <c r="A1497" s="19" t="n"/>
      <c r="B1497" s="19" t="n"/>
      <c r="C1497" s="19" t="n"/>
      <c r="D1497" s="19" t="n"/>
      <c r="E1497" s="19" t="n"/>
      <c r="F1497" s="19" t="n"/>
      <c r="G1497" s="19" t="n"/>
      <c r="H1497" s="19" t="n"/>
    </row>
    <row r="1498">
      <c r="A1498" s="19" t="n"/>
      <c r="B1498" s="19" t="n"/>
      <c r="C1498" s="19" t="n"/>
      <c r="D1498" s="19" t="n"/>
      <c r="E1498" s="19" t="n"/>
      <c r="F1498" s="19" t="n"/>
      <c r="G1498" s="19" t="n"/>
      <c r="H1498" s="19" t="n"/>
    </row>
    <row r="1499">
      <c r="A1499" s="19" t="n"/>
      <c r="B1499" s="19" t="n"/>
      <c r="C1499" s="19" t="n"/>
      <c r="D1499" s="19" t="n"/>
      <c r="E1499" s="19" t="n"/>
      <c r="F1499" s="19" t="n"/>
      <c r="G1499" s="19" t="n"/>
      <c r="H1499" s="19" t="n"/>
    </row>
    <row r="1500">
      <c r="A1500" s="19" t="n"/>
      <c r="B1500" s="19" t="n"/>
      <c r="C1500" s="19" t="n"/>
      <c r="D1500" s="19" t="n"/>
      <c r="E1500" s="19" t="n"/>
      <c r="F1500" s="19" t="n"/>
      <c r="G1500" s="19" t="n"/>
      <c r="H1500" s="19" t="n"/>
    </row>
    <row r="1501">
      <c r="A1501" s="19" t="n"/>
      <c r="B1501" s="19" t="n"/>
      <c r="C1501" s="19" t="n"/>
      <c r="D1501" s="19" t="n"/>
      <c r="E1501" s="19" t="n"/>
      <c r="F1501" s="19" t="n"/>
      <c r="G1501" s="19" t="n"/>
      <c r="H1501" s="19" t="n"/>
    </row>
    <row r="1502">
      <c r="A1502" s="19" t="n"/>
      <c r="B1502" s="19" t="n"/>
      <c r="C1502" s="19" t="n"/>
      <c r="D1502" s="19" t="n"/>
      <c r="E1502" s="19" t="n"/>
      <c r="F1502" s="19" t="n"/>
      <c r="G1502" s="19" t="n"/>
      <c r="H1502" s="19" t="n"/>
    </row>
    <row r="1503">
      <c r="A1503" s="19" t="n"/>
      <c r="B1503" s="19" t="n"/>
      <c r="C1503" s="19" t="n"/>
      <c r="D1503" s="19" t="n"/>
      <c r="E1503" s="19" t="n"/>
      <c r="F1503" s="19" t="n"/>
      <c r="G1503" s="19" t="n"/>
      <c r="H1503" s="19" t="n"/>
    </row>
    <row r="1504">
      <c r="A1504" s="19" t="n"/>
      <c r="B1504" s="19" t="n"/>
      <c r="C1504" s="19" t="n"/>
      <c r="D1504" s="19" t="n"/>
      <c r="E1504" s="19" t="n"/>
      <c r="F1504" s="19" t="n"/>
      <c r="G1504" s="19" t="n"/>
      <c r="H1504" s="19" t="n"/>
    </row>
    <row r="1505">
      <c r="A1505" s="19" t="n"/>
      <c r="B1505" s="19" t="n"/>
      <c r="C1505" s="19" t="n"/>
      <c r="D1505" s="19" t="n"/>
      <c r="E1505" s="19" t="n"/>
      <c r="F1505" s="19" t="n"/>
      <c r="G1505" s="19" t="n"/>
      <c r="H1505" s="19" t="n"/>
    </row>
    <row r="1506">
      <c r="A1506" s="19" t="n"/>
      <c r="B1506" s="19" t="n"/>
      <c r="C1506" s="19" t="n"/>
      <c r="D1506" s="19" t="n"/>
      <c r="E1506" s="19" t="n"/>
      <c r="F1506" s="19" t="n"/>
      <c r="G1506" s="19" t="n"/>
      <c r="H1506" s="19" t="n"/>
    </row>
    <row r="1507">
      <c r="A1507" s="19" t="n"/>
      <c r="B1507" s="19" t="n"/>
      <c r="C1507" s="19" t="n"/>
      <c r="D1507" s="19" t="n"/>
      <c r="E1507" s="19" t="n"/>
      <c r="F1507" s="19" t="n"/>
      <c r="G1507" s="19" t="n"/>
      <c r="H1507" s="19" t="n"/>
    </row>
    <row r="1508">
      <c r="A1508" s="19" t="n"/>
      <c r="B1508" s="19" t="n"/>
      <c r="C1508" s="19" t="n"/>
      <c r="D1508" s="19" t="n"/>
      <c r="E1508" s="19" t="n"/>
      <c r="F1508" s="19" t="n"/>
      <c r="G1508" s="19" t="n"/>
      <c r="H1508" s="19" t="n"/>
    </row>
    <row r="1509">
      <c r="A1509" s="19" t="n"/>
      <c r="B1509" s="19" t="n"/>
      <c r="C1509" s="19" t="n"/>
      <c r="D1509" s="19" t="n"/>
      <c r="E1509" s="19" t="n"/>
      <c r="F1509" s="19" t="n"/>
      <c r="G1509" s="19" t="n"/>
      <c r="H1509" s="19" t="n"/>
    </row>
    <row r="1510">
      <c r="A1510" s="19" t="n"/>
      <c r="B1510" s="19" t="n"/>
      <c r="C1510" s="19" t="n"/>
      <c r="D1510" s="19" t="n"/>
      <c r="E1510" s="19" t="n"/>
      <c r="F1510" s="19" t="n"/>
      <c r="G1510" s="19" t="n"/>
      <c r="H1510" s="19" t="n"/>
    </row>
    <row r="1511">
      <c r="A1511" s="19" t="n"/>
      <c r="B1511" s="19" t="n"/>
      <c r="C1511" s="19" t="n"/>
      <c r="D1511" s="19" t="n"/>
      <c r="E1511" s="19" t="n"/>
      <c r="F1511" s="19" t="n"/>
      <c r="G1511" s="19" t="n"/>
      <c r="H1511" s="19" t="n"/>
    </row>
    <row r="1512">
      <c r="A1512" s="19" t="n"/>
      <c r="B1512" s="19" t="n"/>
      <c r="C1512" s="19" t="n"/>
      <c r="D1512" s="19" t="n"/>
      <c r="E1512" s="19" t="n"/>
      <c r="F1512" s="19" t="n"/>
      <c r="G1512" s="19" t="n"/>
      <c r="H1512" s="19" t="n"/>
    </row>
    <row r="1513">
      <c r="A1513" s="19" t="n"/>
      <c r="B1513" s="19" t="n"/>
      <c r="C1513" s="19" t="n"/>
      <c r="D1513" s="19" t="n"/>
      <c r="E1513" s="19" t="n"/>
      <c r="F1513" s="19" t="n"/>
      <c r="G1513" s="19" t="n"/>
      <c r="H1513" s="19" t="n"/>
    </row>
    <row r="1514">
      <c r="A1514" s="19" t="n"/>
      <c r="B1514" s="19" t="n"/>
      <c r="C1514" s="19" t="n"/>
      <c r="D1514" s="19" t="n"/>
      <c r="E1514" s="19" t="n"/>
      <c r="F1514" s="19" t="n"/>
      <c r="G1514" s="19" t="n"/>
      <c r="H1514" s="19" t="n"/>
    </row>
    <row r="1515">
      <c r="A1515" s="19" t="n"/>
      <c r="B1515" s="19" t="n"/>
      <c r="C1515" s="19" t="n"/>
      <c r="D1515" s="19" t="n"/>
      <c r="E1515" s="19" t="n"/>
      <c r="F1515" s="19" t="n"/>
      <c r="G1515" s="19" t="n"/>
      <c r="H1515" s="19" t="n"/>
    </row>
    <row r="1516">
      <c r="A1516" s="19" t="n"/>
      <c r="B1516" s="19" t="n"/>
      <c r="C1516" s="19" t="n"/>
      <c r="D1516" s="19" t="n"/>
      <c r="E1516" s="19" t="n"/>
      <c r="F1516" s="19" t="n"/>
      <c r="G1516" s="19" t="n"/>
      <c r="H1516" s="19" t="n"/>
    </row>
    <row r="1517">
      <c r="A1517" s="19" t="n"/>
      <c r="B1517" s="19" t="n"/>
      <c r="C1517" s="19" t="n"/>
      <c r="D1517" s="19" t="n"/>
      <c r="E1517" s="19" t="n"/>
      <c r="F1517" s="19" t="n"/>
      <c r="G1517" s="19" t="n"/>
      <c r="H1517" s="19" t="n"/>
    </row>
    <row r="1518">
      <c r="A1518" s="19" t="n"/>
      <c r="B1518" s="19" t="n"/>
      <c r="C1518" s="19" t="n"/>
      <c r="D1518" s="19" t="n"/>
      <c r="E1518" s="19" t="n"/>
      <c r="F1518" s="19" t="n"/>
      <c r="G1518" s="19" t="n"/>
      <c r="H1518" s="19" t="n"/>
    </row>
    <row r="1519">
      <c r="A1519" s="19" t="n"/>
      <c r="B1519" s="19" t="n"/>
      <c r="C1519" s="19" t="n"/>
      <c r="D1519" s="19" t="n"/>
      <c r="E1519" s="19" t="n"/>
      <c r="F1519" s="19" t="n"/>
      <c r="G1519" s="19" t="n"/>
      <c r="H1519" s="19" t="n"/>
    </row>
    <row r="1520">
      <c r="A1520" s="19" t="n"/>
      <c r="B1520" s="19" t="n"/>
      <c r="C1520" s="19" t="n"/>
      <c r="D1520" s="19" t="n"/>
      <c r="E1520" s="19" t="n"/>
      <c r="F1520" s="19" t="n"/>
      <c r="G1520" s="19" t="n"/>
      <c r="H1520" s="19" t="n"/>
    </row>
    <row r="1521">
      <c r="A1521" s="19" t="n"/>
      <c r="B1521" s="19" t="n"/>
      <c r="C1521" s="19" t="n"/>
      <c r="D1521" s="19" t="n"/>
      <c r="E1521" s="19" t="n"/>
      <c r="F1521" s="19" t="n"/>
      <c r="G1521" s="19" t="n"/>
      <c r="H1521" s="19" t="n"/>
    </row>
    <row r="1522">
      <c r="A1522" s="19" t="n"/>
      <c r="B1522" s="19" t="n"/>
      <c r="C1522" s="19" t="n"/>
      <c r="D1522" s="19" t="n"/>
      <c r="E1522" s="19" t="n"/>
      <c r="F1522" s="19" t="n"/>
      <c r="G1522" s="19" t="n"/>
      <c r="H1522" s="19" t="n"/>
    </row>
    <row r="1523">
      <c r="A1523" s="19" t="n"/>
      <c r="B1523" s="19" t="n"/>
      <c r="C1523" s="19" t="n"/>
      <c r="D1523" s="19" t="n"/>
      <c r="E1523" s="19" t="n"/>
      <c r="F1523" s="19" t="n"/>
      <c r="G1523" s="19" t="n"/>
      <c r="H1523" s="19" t="n"/>
    </row>
    <row r="1524">
      <c r="A1524" s="19" t="n"/>
      <c r="B1524" s="19" t="n"/>
      <c r="C1524" s="19" t="n"/>
      <c r="D1524" s="19" t="n"/>
      <c r="E1524" s="19" t="n"/>
      <c r="F1524" s="19" t="n"/>
      <c r="G1524" s="19" t="n"/>
      <c r="H1524" s="19" t="n"/>
    </row>
    <row r="1525">
      <c r="A1525" s="19" t="n"/>
      <c r="B1525" s="19" t="n"/>
      <c r="C1525" s="19" t="n"/>
      <c r="D1525" s="19" t="n"/>
      <c r="E1525" s="19" t="n"/>
      <c r="F1525" s="19" t="n"/>
      <c r="G1525" s="19" t="n"/>
      <c r="H1525" s="19" t="n"/>
    </row>
    <row r="1526">
      <c r="A1526" s="19" t="n"/>
      <c r="B1526" s="19" t="n"/>
      <c r="C1526" s="19" t="n"/>
      <c r="D1526" s="19" t="n"/>
      <c r="E1526" s="19" t="n"/>
      <c r="F1526" s="19" t="n"/>
      <c r="G1526" s="19" t="n"/>
      <c r="H1526" s="19" t="n"/>
    </row>
    <row r="1527">
      <c r="A1527" s="19" t="n"/>
      <c r="B1527" s="19" t="n"/>
      <c r="C1527" s="19" t="n"/>
      <c r="D1527" s="19" t="n"/>
      <c r="E1527" s="19" t="n"/>
      <c r="F1527" s="19" t="n"/>
      <c r="G1527" s="19" t="n"/>
      <c r="H1527" s="19" t="n"/>
    </row>
    <row r="1528">
      <c r="A1528" s="19" t="n"/>
      <c r="B1528" s="19" t="n"/>
      <c r="C1528" s="19" t="n"/>
      <c r="D1528" s="19" t="n"/>
      <c r="E1528" s="19" t="n"/>
      <c r="F1528" s="19" t="n"/>
      <c r="G1528" s="19" t="n"/>
      <c r="H1528" s="19" t="n"/>
    </row>
    <row r="1529">
      <c r="A1529" s="19" t="n"/>
      <c r="B1529" s="19" t="n"/>
      <c r="C1529" s="19" t="n"/>
      <c r="D1529" s="19" t="n"/>
      <c r="E1529" s="19" t="n"/>
      <c r="F1529" s="19" t="n"/>
      <c r="G1529" s="19" t="n"/>
      <c r="H1529" s="19" t="n"/>
    </row>
    <row r="1530">
      <c r="A1530" s="19" t="n"/>
      <c r="B1530" s="19" t="n"/>
      <c r="C1530" s="19" t="n"/>
      <c r="D1530" s="19" t="n"/>
      <c r="E1530" s="19" t="n"/>
      <c r="F1530" s="19" t="n"/>
      <c r="G1530" s="19" t="n"/>
      <c r="H1530" s="19" t="n"/>
    </row>
    <row r="1531">
      <c r="A1531" s="19" t="n"/>
      <c r="B1531" s="19" t="n"/>
      <c r="C1531" s="19" t="n"/>
      <c r="D1531" s="19" t="n"/>
      <c r="E1531" s="19" t="n"/>
      <c r="F1531" s="19" t="n"/>
      <c r="G1531" s="19" t="n"/>
      <c r="H1531" s="19" t="n"/>
    </row>
    <row r="1532">
      <c r="A1532" s="19" t="n"/>
      <c r="B1532" s="19" t="n"/>
      <c r="C1532" s="19" t="n"/>
      <c r="D1532" s="19" t="n"/>
      <c r="E1532" s="19" t="n"/>
      <c r="F1532" s="19" t="n"/>
      <c r="G1532" s="19" t="n"/>
      <c r="H1532" s="19" t="n"/>
    </row>
    <row r="1533">
      <c r="A1533" s="19" t="n"/>
      <c r="B1533" s="19" t="n"/>
      <c r="C1533" s="19" t="n"/>
      <c r="D1533" s="19" t="n"/>
      <c r="E1533" s="19" t="n"/>
      <c r="F1533" s="19" t="n"/>
      <c r="G1533" s="19" t="n"/>
      <c r="H1533" s="19" t="n"/>
    </row>
    <row r="1534">
      <c r="A1534" s="19" t="n"/>
      <c r="B1534" s="19" t="n"/>
      <c r="C1534" s="19" t="n"/>
      <c r="D1534" s="19" t="n"/>
      <c r="E1534" s="19" t="n"/>
      <c r="F1534" s="19" t="n"/>
      <c r="G1534" s="19" t="n"/>
      <c r="H1534" s="19" t="n"/>
    </row>
    <row r="1535">
      <c r="A1535" s="19" t="n"/>
      <c r="B1535" s="19" t="n"/>
      <c r="C1535" s="19" t="n"/>
      <c r="D1535" s="19" t="n"/>
      <c r="E1535" s="19" t="n"/>
      <c r="F1535" s="19" t="n"/>
      <c r="G1535" s="19" t="n"/>
      <c r="H1535" s="19" t="n"/>
    </row>
    <row r="1536">
      <c r="A1536" s="19" t="n"/>
      <c r="B1536" s="19" t="n"/>
      <c r="C1536" s="19" t="n"/>
      <c r="D1536" s="19" t="n"/>
      <c r="E1536" s="19" t="n"/>
      <c r="F1536" s="19" t="n"/>
      <c r="G1536" s="19" t="n"/>
      <c r="H1536" s="19" t="n"/>
    </row>
    <row r="1537">
      <c r="A1537" s="19" t="n"/>
      <c r="B1537" s="19" t="n"/>
      <c r="C1537" s="19" t="n"/>
      <c r="D1537" s="19" t="n"/>
      <c r="E1537" s="19" t="n"/>
      <c r="F1537" s="19" t="n"/>
      <c r="G1537" s="19" t="n"/>
      <c r="H1537" s="19" t="n"/>
    </row>
    <row r="1538">
      <c r="A1538" s="19" t="n"/>
      <c r="B1538" s="19" t="n"/>
      <c r="C1538" s="19" t="n"/>
      <c r="D1538" s="19" t="n"/>
      <c r="E1538" s="19" t="n"/>
      <c r="F1538" s="19" t="n"/>
      <c r="G1538" s="19" t="n"/>
      <c r="H1538" s="19" t="n"/>
    </row>
    <row r="1539">
      <c r="A1539" s="19" t="n"/>
      <c r="B1539" s="19" t="n"/>
      <c r="C1539" s="19" t="n"/>
      <c r="D1539" s="19" t="n"/>
      <c r="E1539" s="19" t="n"/>
      <c r="F1539" s="19" t="n"/>
      <c r="G1539" s="19" t="n"/>
      <c r="H1539" s="19" t="n"/>
    </row>
    <row r="1540">
      <c r="A1540" s="19" t="n"/>
      <c r="B1540" s="19" t="n"/>
      <c r="C1540" s="19" t="n"/>
      <c r="D1540" s="19" t="n"/>
      <c r="E1540" s="19" t="n"/>
      <c r="F1540" s="19" t="n"/>
      <c r="G1540" s="19" t="n"/>
      <c r="H1540" s="19" t="n"/>
    </row>
    <row r="1541">
      <c r="A1541" s="19" t="n"/>
      <c r="B1541" s="19" t="n"/>
      <c r="C1541" s="19" t="n"/>
      <c r="D1541" s="19" t="n"/>
      <c r="E1541" s="19" t="n"/>
      <c r="F1541" s="19" t="n"/>
      <c r="G1541" s="19" t="n"/>
      <c r="H1541" s="19" t="n"/>
    </row>
    <row r="1542">
      <c r="A1542" s="19" t="n"/>
      <c r="B1542" s="19" t="n"/>
      <c r="C1542" s="19" t="n"/>
      <c r="D1542" s="19" t="n"/>
      <c r="E1542" s="19" t="n"/>
      <c r="F1542" s="19" t="n"/>
      <c r="G1542" s="19" t="n"/>
      <c r="H1542" s="19" t="n"/>
    </row>
    <row r="1543">
      <c r="A1543" s="19" t="n"/>
      <c r="B1543" s="19" t="n"/>
      <c r="C1543" s="19" t="n"/>
      <c r="D1543" s="19" t="n"/>
      <c r="E1543" s="19" t="n"/>
      <c r="F1543" s="19" t="n"/>
      <c r="G1543" s="19" t="n"/>
      <c r="H1543" s="19" t="n"/>
    </row>
    <row r="1544">
      <c r="A1544" s="19" t="n"/>
      <c r="B1544" s="19" t="n"/>
      <c r="C1544" s="19" t="n"/>
      <c r="D1544" s="19" t="n"/>
      <c r="E1544" s="19" t="n"/>
      <c r="F1544" s="19" t="n"/>
      <c r="G1544" s="19" t="n"/>
      <c r="H1544" s="19" t="n"/>
    </row>
    <row r="1545">
      <c r="A1545" s="19" t="n"/>
      <c r="B1545" s="19" t="n"/>
      <c r="C1545" s="19" t="n"/>
      <c r="D1545" s="19" t="n"/>
      <c r="E1545" s="19" t="n"/>
      <c r="F1545" s="19" t="n"/>
      <c r="G1545" s="19" t="n"/>
      <c r="H1545" s="19" t="n"/>
    </row>
    <row r="1546">
      <c r="A1546" s="19" t="n"/>
      <c r="B1546" s="19" t="n"/>
      <c r="C1546" s="19" t="n"/>
      <c r="D1546" s="19" t="n"/>
      <c r="E1546" s="19" t="n"/>
      <c r="F1546" s="19" t="n"/>
      <c r="G1546" s="19" t="n"/>
      <c r="H1546" s="19" t="n"/>
    </row>
    <row r="1547">
      <c r="A1547" s="19" t="n"/>
      <c r="B1547" s="19" t="n"/>
      <c r="C1547" s="19" t="n"/>
      <c r="D1547" s="19" t="n"/>
      <c r="E1547" s="19" t="n"/>
      <c r="F1547" s="19" t="n"/>
      <c r="G1547" s="19" t="n"/>
      <c r="H1547" s="19" t="n"/>
    </row>
    <row r="1548">
      <c r="A1548" s="19" t="n"/>
      <c r="B1548" s="19" t="n"/>
      <c r="C1548" s="19" t="n"/>
      <c r="D1548" s="19" t="n"/>
      <c r="E1548" s="19" t="n"/>
      <c r="F1548" s="19" t="n"/>
      <c r="G1548" s="19" t="n"/>
      <c r="H1548" s="19" t="n"/>
    </row>
    <row r="1549">
      <c r="A1549" s="19" t="n"/>
      <c r="B1549" s="19" t="n"/>
      <c r="C1549" s="19" t="n"/>
      <c r="D1549" s="19" t="n"/>
      <c r="E1549" s="19" t="n"/>
      <c r="F1549" s="19" t="n"/>
      <c r="G1549" s="19" t="n"/>
      <c r="H1549" s="19" t="n"/>
    </row>
    <row r="1550">
      <c r="A1550" s="19" t="n"/>
      <c r="B1550" s="19" t="n"/>
      <c r="C1550" s="19" t="n"/>
      <c r="D1550" s="19" t="n"/>
      <c r="E1550" s="19" t="n"/>
      <c r="F1550" s="19" t="n"/>
      <c r="G1550" s="19" t="n"/>
      <c r="H1550" s="19" t="n"/>
    </row>
    <row r="1551">
      <c r="A1551" s="19" t="n"/>
      <c r="B1551" s="19" t="n"/>
      <c r="C1551" s="19" t="n"/>
      <c r="D1551" s="19" t="n"/>
      <c r="E1551" s="19" t="n"/>
      <c r="F1551" s="19" t="n"/>
      <c r="G1551" s="19" t="n"/>
      <c r="H1551" s="19" t="n"/>
    </row>
    <row r="1552">
      <c r="A1552" s="19" t="n"/>
      <c r="B1552" s="19" t="n"/>
      <c r="C1552" s="19" t="n"/>
      <c r="D1552" s="19" t="n"/>
      <c r="E1552" s="19" t="n"/>
      <c r="F1552" s="19" t="n"/>
      <c r="G1552" s="19" t="n"/>
      <c r="H1552" s="19" t="n"/>
    </row>
    <row r="1553">
      <c r="A1553" s="19" t="n"/>
      <c r="B1553" s="19" t="n"/>
      <c r="C1553" s="19" t="n"/>
      <c r="D1553" s="19" t="n"/>
      <c r="E1553" s="19" t="n"/>
      <c r="F1553" s="19" t="n"/>
      <c r="G1553" s="19" t="n"/>
      <c r="H1553" s="19" t="n"/>
    </row>
    <row r="1554">
      <c r="A1554" s="19" t="n"/>
      <c r="B1554" s="19" t="n"/>
      <c r="C1554" s="19" t="n"/>
      <c r="D1554" s="19" t="n"/>
      <c r="E1554" s="19" t="n"/>
      <c r="F1554" s="19" t="n"/>
      <c r="G1554" s="19" t="n"/>
      <c r="H1554" s="19" t="n"/>
    </row>
    <row r="1555">
      <c r="A1555" s="19" t="n"/>
      <c r="B1555" s="19" t="n"/>
      <c r="C1555" s="19" t="n"/>
      <c r="D1555" s="19" t="n"/>
      <c r="E1555" s="19" t="n"/>
      <c r="F1555" s="19" t="n"/>
      <c r="G1555" s="19" t="n"/>
      <c r="H1555" s="19" t="n"/>
    </row>
    <row r="1556">
      <c r="A1556" s="19" t="n"/>
      <c r="B1556" s="19" t="n"/>
      <c r="C1556" s="19" t="n"/>
      <c r="D1556" s="19" t="n"/>
      <c r="E1556" s="19" t="n"/>
      <c r="F1556" s="19" t="n"/>
      <c r="G1556" s="19" t="n"/>
      <c r="H1556" s="19" t="n"/>
    </row>
    <row r="1557">
      <c r="A1557" s="19" t="n"/>
      <c r="B1557" s="19" t="n"/>
      <c r="C1557" s="19" t="n"/>
      <c r="D1557" s="19" t="n"/>
      <c r="E1557" s="19" t="n"/>
      <c r="F1557" s="19" t="n"/>
      <c r="G1557" s="19" t="n"/>
      <c r="H1557" s="19" t="n"/>
    </row>
    <row r="1558">
      <c r="A1558" s="19" t="n"/>
      <c r="B1558" s="19" t="n"/>
      <c r="C1558" s="19" t="n"/>
      <c r="D1558" s="19" t="n"/>
      <c r="E1558" s="19" t="n"/>
      <c r="F1558" s="19" t="n"/>
      <c r="G1558" s="19" t="n"/>
      <c r="H1558" s="19" t="n"/>
    </row>
    <row r="1559">
      <c r="A1559" s="19" t="n"/>
      <c r="B1559" s="19" t="n"/>
      <c r="C1559" s="19" t="n"/>
      <c r="D1559" s="19" t="n"/>
      <c r="E1559" s="19" t="n"/>
      <c r="F1559" s="19" t="n"/>
      <c r="G1559" s="19" t="n"/>
      <c r="H1559" s="19" t="n"/>
    </row>
    <row r="1560">
      <c r="A1560" s="19" t="n"/>
      <c r="B1560" s="19" t="n"/>
      <c r="C1560" s="19" t="n"/>
      <c r="D1560" s="19" t="n"/>
      <c r="E1560" s="19" t="n"/>
      <c r="F1560" s="19" t="n"/>
      <c r="G1560" s="19" t="n"/>
      <c r="H1560" s="19" t="n"/>
    </row>
    <row r="1561">
      <c r="A1561" s="19" t="n"/>
      <c r="B1561" s="19" t="n"/>
      <c r="C1561" s="19" t="n"/>
      <c r="D1561" s="19" t="n"/>
      <c r="E1561" s="19" t="n"/>
      <c r="F1561" s="19" t="n"/>
      <c r="G1561" s="19" t="n"/>
      <c r="H1561" s="19" t="n"/>
    </row>
    <row r="1562">
      <c r="A1562" s="19" t="n"/>
      <c r="B1562" s="19" t="n"/>
      <c r="C1562" s="19" t="n"/>
      <c r="D1562" s="19" t="n"/>
      <c r="E1562" s="19" t="n"/>
      <c r="F1562" s="19" t="n"/>
      <c r="G1562" s="19" t="n"/>
      <c r="H1562" s="19" t="n"/>
    </row>
    <row r="1563">
      <c r="A1563" s="19" t="n"/>
      <c r="B1563" s="19" t="n"/>
      <c r="C1563" s="19" t="n"/>
      <c r="D1563" s="19" t="n"/>
      <c r="E1563" s="19" t="n"/>
      <c r="F1563" s="19" t="n"/>
      <c r="G1563" s="19" t="n"/>
      <c r="H1563" s="19" t="n"/>
    </row>
    <row r="1564">
      <c r="A1564" s="19" t="n"/>
      <c r="B1564" s="19" t="n"/>
      <c r="C1564" s="19" t="n"/>
      <c r="D1564" s="19" t="n"/>
      <c r="E1564" s="19" t="n"/>
      <c r="F1564" s="19" t="n"/>
      <c r="G1564" s="19" t="n"/>
      <c r="H1564" s="19" t="n"/>
    </row>
    <row r="1565">
      <c r="A1565" s="19" t="n"/>
      <c r="B1565" s="19" t="n"/>
      <c r="C1565" s="19" t="n"/>
      <c r="D1565" s="19" t="n"/>
      <c r="E1565" s="19" t="n"/>
      <c r="F1565" s="19" t="n"/>
      <c r="G1565" s="19" t="n"/>
      <c r="H1565" s="19" t="n"/>
    </row>
    <row r="1566">
      <c r="A1566" s="19" t="n"/>
      <c r="B1566" s="19" t="n"/>
      <c r="C1566" s="19" t="n"/>
      <c r="D1566" s="19" t="n"/>
      <c r="E1566" s="19" t="n"/>
      <c r="F1566" s="19" t="n"/>
      <c r="G1566" s="19" t="n"/>
      <c r="H1566" s="19" t="n"/>
    </row>
    <row r="1567">
      <c r="A1567" s="19" t="n"/>
      <c r="B1567" s="19" t="n"/>
      <c r="C1567" s="19" t="n"/>
      <c r="D1567" s="19" t="n"/>
      <c r="E1567" s="19" t="n"/>
      <c r="F1567" s="19" t="n"/>
      <c r="G1567" s="19" t="n"/>
      <c r="H1567" s="19" t="n"/>
    </row>
    <row r="1568">
      <c r="A1568" s="19" t="n"/>
      <c r="B1568" s="19" t="n"/>
      <c r="C1568" s="19" t="n"/>
      <c r="D1568" s="19" t="n"/>
      <c r="E1568" s="19" t="n"/>
      <c r="F1568" s="19" t="n"/>
      <c r="G1568" s="19" t="n"/>
      <c r="H1568" s="19" t="n"/>
    </row>
    <row r="1569">
      <c r="A1569" s="19" t="n"/>
      <c r="B1569" s="19" t="n"/>
      <c r="C1569" s="19" t="n"/>
      <c r="D1569" s="19" t="n"/>
      <c r="E1569" s="19" t="n"/>
      <c r="F1569" s="19" t="n"/>
      <c r="G1569" s="19" t="n"/>
      <c r="H1569" s="19" t="n"/>
    </row>
    <row r="1570">
      <c r="A1570" s="19" t="n"/>
      <c r="B1570" s="19" t="n"/>
      <c r="C1570" s="19" t="n"/>
      <c r="D1570" s="19" t="n"/>
      <c r="E1570" s="19" t="n"/>
      <c r="F1570" s="19" t="n"/>
      <c r="G1570" s="19" t="n"/>
      <c r="H1570" s="19" t="n"/>
    </row>
    <row r="1571">
      <c r="A1571" s="19" t="n"/>
      <c r="B1571" s="19" t="n"/>
      <c r="C1571" s="19" t="n"/>
      <c r="D1571" s="19" t="n"/>
      <c r="E1571" s="19" t="n"/>
      <c r="F1571" s="19" t="n"/>
      <c r="G1571" s="19" t="n"/>
      <c r="H1571" s="19" t="n"/>
    </row>
    <row r="1572">
      <c r="A1572" s="19" t="n"/>
      <c r="B1572" s="19" t="n"/>
      <c r="C1572" s="19" t="n"/>
      <c r="D1572" s="19" t="n"/>
      <c r="E1572" s="19" t="n"/>
      <c r="F1572" s="19" t="n"/>
      <c r="G1572" s="19" t="n"/>
      <c r="H1572" s="19" t="n"/>
    </row>
    <row r="1573">
      <c r="A1573" s="19" t="n"/>
      <c r="B1573" s="19" t="n"/>
      <c r="C1573" s="19" t="n"/>
      <c r="D1573" s="19" t="n"/>
      <c r="E1573" s="19" t="n"/>
      <c r="F1573" s="19" t="n"/>
      <c r="G1573" s="19" t="n"/>
      <c r="H1573" s="19" t="n"/>
    </row>
    <row r="1574">
      <c r="A1574" s="19" t="n"/>
      <c r="B1574" s="19" t="n"/>
      <c r="C1574" s="19" t="n"/>
      <c r="D1574" s="19" t="n"/>
      <c r="E1574" s="19" t="n"/>
      <c r="F1574" s="19" t="n"/>
      <c r="G1574" s="19" t="n"/>
      <c r="H1574" s="19" t="n"/>
    </row>
    <row r="1575">
      <c r="A1575" s="19" t="n"/>
      <c r="B1575" s="19" t="n"/>
      <c r="C1575" s="19" t="n"/>
      <c r="D1575" s="19" t="n"/>
      <c r="E1575" s="19" t="n"/>
      <c r="F1575" s="19" t="n"/>
      <c r="G1575" s="19" t="n"/>
      <c r="H1575" s="19" t="n"/>
    </row>
    <row r="1576">
      <c r="A1576" s="19" t="n"/>
      <c r="B1576" s="19" t="n"/>
      <c r="C1576" s="19" t="n"/>
      <c r="D1576" s="19" t="n"/>
      <c r="E1576" s="19" t="n"/>
      <c r="F1576" s="19" t="n"/>
      <c r="G1576" s="19" t="n"/>
      <c r="H1576" s="19" t="n"/>
    </row>
    <row r="1577">
      <c r="A1577" s="19" t="n"/>
      <c r="B1577" s="19" t="n"/>
      <c r="C1577" s="19" t="n"/>
      <c r="D1577" s="19" t="n"/>
      <c r="E1577" s="19" t="n"/>
      <c r="F1577" s="19" t="n"/>
      <c r="G1577" s="19" t="n"/>
      <c r="H1577" s="19" t="n"/>
    </row>
    <row r="1578">
      <c r="A1578" s="19" t="n"/>
      <c r="B1578" s="19" t="n"/>
      <c r="C1578" s="19" t="n"/>
      <c r="D1578" s="19" t="n"/>
      <c r="E1578" s="19" t="n"/>
      <c r="F1578" s="19" t="n"/>
      <c r="G1578" s="19" t="n"/>
      <c r="H1578" s="19" t="n"/>
    </row>
    <row r="1579">
      <c r="A1579" s="19" t="n"/>
      <c r="B1579" s="19" t="n"/>
      <c r="C1579" s="19" t="n"/>
      <c r="D1579" s="19" t="n"/>
      <c r="E1579" s="19" t="n"/>
      <c r="F1579" s="19" t="n"/>
      <c r="G1579" s="19" t="n"/>
      <c r="H1579" s="19" t="n"/>
    </row>
    <row r="1580">
      <c r="A1580" s="19" t="n"/>
      <c r="B1580" s="19" t="n"/>
      <c r="C1580" s="19" t="n"/>
      <c r="D1580" s="19" t="n"/>
      <c r="E1580" s="19" t="n"/>
      <c r="F1580" s="19" t="n"/>
      <c r="G1580" s="19" t="n"/>
      <c r="H1580" s="19" t="n"/>
    </row>
    <row r="1581">
      <c r="A1581" s="19" t="n"/>
      <c r="B1581" s="19" t="n"/>
      <c r="C1581" s="19" t="n"/>
      <c r="D1581" s="19" t="n"/>
      <c r="E1581" s="19" t="n"/>
      <c r="F1581" s="19" t="n"/>
      <c r="G1581" s="19" t="n"/>
      <c r="H1581" s="19" t="n"/>
    </row>
    <row r="1582">
      <c r="A1582" s="19" t="n"/>
      <c r="B1582" s="19" t="n"/>
      <c r="C1582" s="19" t="n"/>
      <c r="D1582" s="19" t="n"/>
      <c r="E1582" s="19" t="n"/>
      <c r="F1582" s="19" t="n"/>
      <c r="G1582" s="19" t="n"/>
      <c r="H1582" s="19" t="n"/>
    </row>
    <row r="1583">
      <c r="A1583" s="19" t="n"/>
      <c r="B1583" s="19" t="n"/>
      <c r="C1583" s="19" t="n"/>
      <c r="D1583" s="19" t="n"/>
      <c r="E1583" s="19" t="n"/>
      <c r="F1583" s="19" t="n"/>
      <c r="G1583" s="19" t="n"/>
      <c r="H1583" s="19" t="n"/>
    </row>
    <row r="1584">
      <c r="A1584" s="19" t="n"/>
      <c r="B1584" s="19" t="n"/>
      <c r="C1584" s="19" t="n"/>
      <c r="D1584" s="19" t="n"/>
      <c r="E1584" s="19" t="n"/>
      <c r="F1584" s="19" t="n"/>
      <c r="G1584" s="19" t="n"/>
      <c r="H1584" s="19" t="n"/>
    </row>
    <row r="1585">
      <c r="A1585" s="19" t="n"/>
      <c r="B1585" s="19" t="n"/>
      <c r="C1585" s="19" t="n"/>
      <c r="D1585" s="19" t="n"/>
      <c r="E1585" s="19" t="n"/>
      <c r="F1585" s="19" t="n"/>
      <c r="G1585" s="19" t="n"/>
      <c r="H1585" s="19" t="n"/>
    </row>
    <row r="1586">
      <c r="A1586" s="19" t="n"/>
      <c r="B1586" s="19" t="n"/>
      <c r="C1586" s="19" t="n"/>
      <c r="D1586" s="19" t="n"/>
      <c r="E1586" s="19" t="n"/>
      <c r="F1586" s="19" t="n"/>
      <c r="G1586" s="19" t="n"/>
      <c r="H1586" s="19" t="n"/>
    </row>
    <row r="1587">
      <c r="A1587" s="19" t="n"/>
      <c r="B1587" s="19" t="n"/>
      <c r="C1587" s="19" t="n"/>
      <c r="D1587" s="19" t="n"/>
      <c r="E1587" s="19" t="n"/>
      <c r="F1587" s="19" t="n"/>
      <c r="G1587" s="19" t="n"/>
      <c r="H1587" s="19" t="n"/>
    </row>
    <row r="1588">
      <c r="A1588" s="19" t="n"/>
      <c r="B1588" s="19" t="n"/>
      <c r="C1588" s="19" t="n"/>
      <c r="D1588" s="19" t="n"/>
      <c r="E1588" s="19" t="n"/>
      <c r="F1588" s="19" t="n"/>
      <c r="G1588" s="19" t="n"/>
      <c r="H1588" s="19" t="n"/>
    </row>
    <row r="1589">
      <c r="A1589" s="19" t="n"/>
      <c r="B1589" s="19" t="n"/>
      <c r="C1589" s="19" t="n"/>
      <c r="D1589" s="19" t="n"/>
      <c r="E1589" s="19" t="n"/>
      <c r="F1589" s="19" t="n"/>
      <c r="G1589" s="19" t="n"/>
      <c r="H1589" s="19" t="n"/>
    </row>
    <row r="1590">
      <c r="A1590" s="19" t="n"/>
      <c r="B1590" s="19" t="n"/>
      <c r="C1590" s="19" t="n"/>
      <c r="D1590" s="19" t="n"/>
      <c r="E1590" s="19" t="n"/>
      <c r="F1590" s="19" t="n"/>
      <c r="G1590" s="19" t="n"/>
      <c r="H1590" s="19" t="n"/>
    </row>
    <row r="1591">
      <c r="A1591" s="19" t="n"/>
      <c r="B1591" s="19" t="n"/>
      <c r="C1591" s="19" t="n"/>
      <c r="D1591" s="19" t="n"/>
      <c r="E1591" s="19" t="n"/>
      <c r="F1591" s="19" t="n"/>
      <c r="G1591" s="19" t="n"/>
      <c r="H1591" s="19" t="n"/>
    </row>
    <row r="1592">
      <c r="A1592" s="19" t="n"/>
      <c r="B1592" s="19" t="n"/>
      <c r="C1592" s="19" t="n"/>
      <c r="D1592" s="19" t="n"/>
      <c r="E1592" s="19" t="n"/>
      <c r="F1592" s="19" t="n"/>
      <c r="G1592" s="19" t="n"/>
      <c r="H1592" s="19" t="n"/>
    </row>
    <row r="1593">
      <c r="A1593" s="19" t="n"/>
      <c r="B1593" s="19" t="n"/>
      <c r="C1593" s="19" t="n"/>
      <c r="D1593" s="19" t="n"/>
      <c r="E1593" s="19" t="n"/>
      <c r="F1593" s="19" t="n"/>
      <c r="G1593" s="19" t="n"/>
      <c r="H1593" s="19" t="n"/>
    </row>
    <row r="1594">
      <c r="A1594" s="19" t="n"/>
      <c r="B1594" s="19" t="n"/>
      <c r="C1594" s="19" t="n"/>
      <c r="D1594" s="19" t="n"/>
      <c r="E1594" s="19" t="n"/>
      <c r="F1594" s="19" t="n"/>
      <c r="G1594" s="19" t="n"/>
      <c r="H1594" s="19" t="n"/>
    </row>
    <row r="1595">
      <c r="A1595" s="19" t="n"/>
      <c r="B1595" s="19" t="n"/>
      <c r="C1595" s="19" t="n"/>
      <c r="D1595" s="19" t="n"/>
      <c r="E1595" s="19" t="n"/>
      <c r="F1595" s="19" t="n"/>
      <c r="G1595" s="19" t="n"/>
      <c r="H1595" s="19" t="n"/>
    </row>
    <row r="1596">
      <c r="A1596" s="19" t="n"/>
      <c r="B1596" s="19" t="n"/>
      <c r="C1596" s="19" t="n"/>
      <c r="D1596" s="19" t="n"/>
      <c r="E1596" s="19" t="n"/>
      <c r="F1596" s="19" t="n"/>
      <c r="G1596" s="19" t="n"/>
      <c r="H1596" s="19" t="n"/>
    </row>
    <row r="1597">
      <c r="A1597" s="19" t="n"/>
      <c r="B1597" s="19" t="n"/>
      <c r="C1597" s="19" t="n"/>
      <c r="D1597" s="19" t="n"/>
      <c r="E1597" s="19" t="n"/>
      <c r="F1597" s="19" t="n"/>
      <c r="G1597" s="19" t="n"/>
      <c r="H1597" s="19" t="n"/>
    </row>
    <row r="1598">
      <c r="A1598" s="19" t="n"/>
      <c r="B1598" s="19" t="n"/>
      <c r="C1598" s="19" t="n"/>
      <c r="D1598" s="19" t="n"/>
      <c r="E1598" s="19" t="n"/>
      <c r="F1598" s="19" t="n"/>
      <c r="G1598" s="19" t="n"/>
      <c r="H1598" s="19" t="n"/>
    </row>
    <row r="1599">
      <c r="A1599" s="19" t="n"/>
      <c r="B1599" s="19" t="n"/>
      <c r="C1599" s="19" t="n"/>
      <c r="D1599" s="19" t="n"/>
      <c r="E1599" s="19" t="n"/>
      <c r="F1599" s="19" t="n"/>
      <c r="G1599" s="19" t="n"/>
      <c r="H1599" s="19" t="n"/>
    </row>
    <row r="1600">
      <c r="A1600" s="19" t="n"/>
      <c r="B1600" s="19" t="n"/>
      <c r="C1600" s="19" t="n"/>
      <c r="D1600" s="19" t="n"/>
      <c r="E1600" s="19" t="n"/>
      <c r="F1600" s="19" t="n"/>
      <c r="G1600" s="19" t="n"/>
      <c r="H1600" s="19" t="n"/>
    </row>
    <row r="1601">
      <c r="A1601" s="19" t="n"/>
      <c r="B1601" s="19" t="n"/>
      <c r="C1601" s="19" t="n"/>
      <c r="D1601" s="19" t="n"/>
      <c r="E1601" s="19" t="n"/>
      <c r="F1601" s="19" t="n"/>
      <c r="G1601" s="19" t="n"/>
      <c r="H1601" s="19" t="n"/>
    </row>
    <row r="1602">
      <c r="A1602" s="19" t="n"/>
      <c r="B1602" s="19" t="n"/>
      <c r="C1602" s="19" t="n"/>
      <c r="D1602" s="19" t="n"/>
      <c r="E1602" s="19" t="n"/>
      <c r="F1602" s="19" t="n"/>
      <c r="G1602" s="19" t="n"/>
      <c r="H1602" s="19" t="n"/>
    </row>
    <row r="1603">
      <c r="A1603" s="19" t="n"/>
      <c r="B1603" s="19" t="n"/>
      <c r="C1603" s="19" t="n"/>
      <c r="D1603" s="19" t="n"/>
      <c r="E1603" s="19" t="n"/>
      <c r="F1603" s="19" t="n"/>
      <c r="G1603" s="19" t="n"/>
      <c r="H1603" s="19" t="n"/>
    </row>
    <row r="1604">
      <c r="A1604" s="19" t="n"/>
      <c r="B1604" s="19" t="n"/>
      <c r="C1604" s="19" t="n"/>
      <c r="D1604" s="19" t="n"/>
      <c r="E1604" s="19" t="n"/>
      <c r="F1604" s="19" t="n"/>
      <c r="G1604" s="19" t="n"/>
      <c r="H1604" s="19" t="n"/>
    </row>
    <row r="1605">
      <c r="A1605" s="19" t="n"/>
      <c r="B1605" s="19" t="n"/>
      <c r="C1605" s="19" t="n"/>
      <c r="D1605" s="19" t="n"/>
      <c r="E1605" s="19" t="n"/>
      <c r="F1605" s="19" t="n"/>
      <c r="G1605" s="19" t="n"/>
      <c r="H1605" s="19" t="n"/>
    </row>
    <row r="1606">
      <c r="A1606" s="19" t="n"/>
      <c r="B1606" s="19" t="n"/>
      <c r="C1606" s="19" t="n"/>
      <c r="D1606" s="19" t="n"/>
      <c r="E1606" s="19" t="n"/>
      <c r="F1606" s="19" t="n"/>
      <c r="G1606" s="19" t="n"/>
      <c r="H1606" s="19" t="n"/>
    </row>
    <row r="1607">
      <c r="A1607" s="19" t="n"/>
      <c r="B1607" s="19" t="n"/>
      <c r="C1607" s="19" t="n"/>
      <c r="D1607" s="19" t="n"/>
      <c r="E1607" s="19" t="n"/>
      <c r="F1607" s="19" t="n"/>
      <c r="G1607" s="19" t="n"/>
      <c r="H1607" s="19" t="n"/>
    </row>
    <row r="1608">
      <c r="A1608" s="19" t="n"/>
      <c r="B1608" s="19" t="n"/>
      <c r="C1608" s="19" t="n"/>
      <c r="D1608" s="19" t="n"/>
      <c r="E1608" s="19" t="n"/>
      <c r="F1608" s="19" t="n"/>
      <c r="G1608" s="19" t="n"/>
      <c r="H1608" s="19" t="n"/>
    </row>
    <row r="1609">
      <c r="A1609" s="19" t="n"/>
      <c r="B1609" s="19" t="n"/>
      <c r="C1609" s="19" t="n"/>
      <c r="D1609" s="19" t="n"/>
      <c r="E1609" s="19" t="n"/>
      <c r="F1609" s="19" t="n"/>
      <c r="G1609" s="19" t="n"/>
      <c r="H1609" s="19" t="n"/>
    </row>
    <row r="1610">
      <c r="A1610" s="19" t="n"/>
      <c r="B1610" s="19" t="n"/>
      <c r="C1610" s="19" t="n"/>
      <c r="D1610" s="19" t="n"/>
      <c r="E1610" s="19" t="n"/>
      <c r="F1610" s="19" t="n"/>
      <c r="G1610" s="19" t="n"/>
      <c r="H1610" s="19" t="n"/>
    </row>
    <row r="1611">
      <c r="A1611" s="19" t="n"/>
      <c r="B1611" s="19" t="n"/>
      <c r="C1611" s="19" t="n"/>
      <c r="D1611" s="19" t="n"/>
      <c r="E1611" s="19" t="n"/>
      <c r="F1611" s="19" t="n"/>
      <c r="G1611" s="19" t="n"/>
      <c r="H1611" s="19" t="n"/>
    </row>
    <row r="1612">
      <c r="A1612" s="19" t="n"/>
      <c r="B1612" s="19" t="n"/>
      <c r="C1612" s="19" t="n"/>
      <c r="D1612" s="19" t="n"/>
      <c r="E1612" s="19" t="n"/>
      <c r="F1612" s="19" t="n"/>
      <c r="G1612" s="19" t="n"/>
      <c r="H1612" s="19" t="n"/>
    </row>
    <row r="1613">
      <c r="A1613" s="19" t="n"/>
      <c r="B1613" s="19" t="n"/>
      <c r="C1613" s="19" t="n"/>
      <c r="D1613" s="19" t="n"/>
      <c r="E1613" s="19" t="n"/>
      <c r="F1613" s="19" t="n"/>
      <c r="G1613" s="19" t="n"/>
      <c r="H1613" s="19" t="n"/>
    </row>
    <row r="1614">
      <c r="A1614" s="19" t="n"/>
      <c r="B1614" s="19" t="n"/>
      <c r="C1614" s="19" t="n"/>
      <c r="D1614" s="19" t="n"/>
      <c r="E1614" s="19" t="n"/>
      <c r="F1614" s="19" t="n"/>
      <c r="G1614" s="19" t="n"/>
      <c r="H1614" s="19" t="n"/>
    </row>
    <row r="1615">
      <c r="A1615" s="19" t="n"/>
      <c r="B1615" s="19" t="n"/>
      <c r="C1615" s="19" t="n"/>
      <c r="D1615" s="19" t="n"/>
      <c r="E1615" s="19" t="n"/>
      <c r="F1615" s="19" t="n"/>
      <c r="G1615" s="19" t="n"/>
      <c r="H1615" s="19" t="n"/>
    </row>
    <row r="1616">
      <c r="A1616" s="19" t="n"/>
      <c r="B1616" s="19" t="n"/>
      <c r="C1616" s="19" t="n"/>
      <c r="D1616" s="19" t="n"/>
      <c r="E1616" s="19" t="n"/>
      <c r="F1616" s="19" t="n"/>
      <c r="G1616" s="19" t="n"/>
      <c r="H1616" s="19" t="n"/>
    </row>
    <row r="1617">
      <c r="A1617" s="19" t="n"/>
      <c r="B1617" s="19" t="n"/>
      <c r="C1617" s="19" t="n"/>
      <c r="D1617" s="19" t="n"/>
      <c r="E1617" s="19" t="n"/>
      <c r="F1617" s="19" t="n"/>
      <c r="G1617" s="19" t="n"/>
      <c r="H1617" s="19" t="n"/>
    </row>
    <row r="1618">
      <c r="A1618" s="19" t="n"/>
      <c r="B1618" s="19" t="n"/>
      <c r="C1618" s="19" t="n"/>
      <c r="D1618" s="19" t="n"/>
      <c r="E1618" s="19" t="n"/>
      <c r="F1618" s="19" t="n"/>
      <c r="G1618" s="19" t="n"/>
      <c r="H1618" s="19" t="n"/>
    </row>
    <row r="1619">
      <c r="A1619" s="19" t="n"/>
      <c r="B1619" s="19" t="n"/>
      <c r="C1619" s="19" t="n"/>
      <c r="D1619" s="19" t="n"/>
      <c r="E1619" s="19" t="n"/>
      <c r="F1619" s="19" t="n"/>
      <c r="G1619" s="19" t="n"/>
      <c r="H1619" s="19" t="n"/>
    </row>
    <row r="1620">
      <c r="A1620" s="19" t="n"/>
      <c r="B1620" s="19" t="n"/>
      <c r="C1620" s="19" t="n"/>
      <c r="D1620" s="19" t="n"/>
      <c r="E1620" s="19" t="n"/>
      <c r="F1620" s="19" t="n"/>
      <c r="G1620" s="19" t="n"/>
      <c r="H1620" s="19" t="n"/>
    </row>
    <row r="1621">
      <c r="A1621" s="19" t="n"/>
      <c r="B1621" s="19" t="n"/>
      <c r="C1621" s="19" t="n"/>
      <c r="D1621" s="19" t="n"/>
      <c r="E1621" s="19" t="n"/>
      <c r="F1621" s="19" t="n"/>
      <c r="G1621" s="19" t="n"/>
      <c r="H1621" s="19" t="n"/>
    </row>
    <row r="1622">
      <c r="A1622" s="19" t="n"/>
      <c r="B1622" s="19" t="n"/>
      <c r="C1622" s="19" t="n"/>
      <c r="D1622" s="19" t="n"/>
      <c r="E1622" s="19" t="n"/>
      <c r="F1622" s="19" t="n"/>
      <c r="G1622" s="19" t="n"/>
      <c r="H1622" s="19" t="n"/>
    </row>
    <row r="1623">
      <c r="A1623" s="19" t="n"/>
      <c r="B1623" s="19" t="n"/>
      <c r="C1623" s="19" t="n"/>
      <c r="D1623" s="19" t="n"/>
      <c r="E1623" s="19" t="n"/>
      <c r="F1623" s="19" t="n"/>
      <c r="G1623" s="19" t="n"/>
      <c r="H1623" s="19" t="n"/>
    </row>
    <row r="1624">
      <c r="A1624" s="19" t="n"/>
      <c r="B1624" s="19" t="n"/>
      <c r="C1624" s="19" t="n"/>
      <c r="D1624" s="19" t="n"/>
      <c r="E1624" s="19" t="n"/>
      <c r="F1624" s="19" t="n"/>
      <c r="G1624" s="19" t="n"/>
      <c r="H1624" s="19" t="n"/>
    </row>
    <row r="1625">
      <c r="A1625" s="19" t="n"/>
      <c r="B1625" s="19" t="n"/>
      <c r="C1625" s="19" t="n"/>
      <c r="D1625" s="19" t="n"/>
      <c r="E1625" s="19" t="n"/>
      <c r="F1625" s="19" t="n"/>
      <c r="G1625" s="19" t="n"/>
      <c r="H1625" s="19" t="n"/>
    </row>
    <row r="1626">
      <c r="A1626" s="19" t="n"/>
      <c r="B1626" s="19" t="n"/>
      <c r="C1626" s="19" t="n"/>
      <c r="D1626" s="19" t="n"/>
      <c r="E1626" s="19" t="n"/>
      <c r="F1626" s="19" t="n"/>
      <c r="G1626" s="19" t="n"/>
      <c r="H1626" s="19" t="n"/>
    </row>
    <row r="1627">
      <c r="A1627" s="19" t="n"/>
      <c r="B1627" s="19" t="n"/>
      <c r="C1627" s="19" t="n"/>
      <c r="D1627" s="19" t="n"/>
      <c r="E1627" s="19" t="n"/>
      <c r="F1627" s="19" t="n"/>
      <c r="G1627" s="19" t="n"/>
      <c r="H1627" s="19" t="n"/>
    </row>
    <row r="1628">
      <c r="A1628" s="19" t="n"/>
      <c r="B1628" s="19" t="n"/>
      <c r="C1628" s="19" t="n"/>
      <c r="D1628" s="19" t="n"/>
      <c r="E1628" s="19" t="n"/>
      <c r="F1628" s="19" t="n"/>
      <c r="G1628" s="19" t="n"/>
      <c r="H1628" s="19" t="n"/>
    </row>
    <row r="1629">
      <c r="A1629" s="19" t="n"/>
      <c r="B1629" s="19" t="n"/>
      <c r="C1629" s="19" t="n"/>
      <c r="D1629" s="19" t="n"/>
      <c r="E1629" s="19" t="n"/>
      <c r="F1629" s="19" t="n"/>
      <c r="G1629" s="19" t="n"/>
      <c r="H1629" s="19" t="n"/>
    </row>
    <row r="1630">
      <c r="A1630" s="19" t="n"/>
      <c r="B1630" s="19" t="n"/>
      <c r="C1630" s="19" t="n"/>
      <c r="D1630" s="19" t="n"/>
      <c r="E1630" s="19" t="n"/>
      <c r="F1630" s="19" t="n"/>
      <c r="G1630" s="19" t="n"/>
      <c r="H1630" s="19" t="n"/>
    </row>
    <row r="1631">
      <c r="A1631" s="19" t="n"/>
      <c r="B1631" s="19" t="n"/>
      <c r="C1631" s="19" t="n"/>
      <c r="D1631" s="19" t="n"/>
      <c r="E1631" s="19" t="n"/>
      <c r="F1631" s="19" t="n"/>
      <c r="G1631" s="19" t="n"/>
      <c r="H1631" s="19" t="n"/>
    </row>
    <row r="1632">
      <c r="A1632" s="19" t="n"/>
      <c r="B1632" s="19" t="n"/>
      <c r="C1632" s="19" t="n"/>
      <c r="D1632" s="19" t="n"/>
      <c r="E1632" s="19" t="n"/>
      <c r="F1632" s="19" t="n"/>
      <c r="G1632" s="19" t="n"/>
      <c r="H1632" s="19" t="n"/>
    </row>
    <row r="1633">
      <c r="A1633" s="19" t="n"/>
      <c r="B1633" s="19" t="n"/>
      <c r="C1633" s="19" t="n"/>
      <c r="D1633" s="19" t="n"/>
      <c r="E1633" s="19" t="n"/>
      <c r="F1633" s="19" t="n"/>
      <c r="G1633" s="19" t="n"/>
      <c r="H1633" s="19" t="n"/>
    </row>
    <row r="1634">
      <c r="A1634" s="19" t="n"/>
      <c r="B1634" s="19" t="n"/>
      <c r="C1634" s="19" t="n"/>
      <c r="D1634" s="19" t="n"/>
      <c r="E1634" s="19" t="n"/>
      <c r="F1634" s="19" t="n"/>
      <c r="G1634" s="19" t="n"/>
      <c r="H1634" s="19" t="n"/>
    </row>
    <row r="1635">
      <c r="A1635" s="19" t="n"/>
      <c r="B1635" s="19" t="n"/>
      <c r="C1635" s="19" t="n"/>
      <c r="D1635" s="19" t="n"/>
      <c r="E1635" s="19" t="n"/>
      <c r="F1635" s="19" t="n"/>
      <c r="G1635" s="19" t="n"/>
      <c r="H1635" s="19" t="n"/>
    </row>
    <row r="1636">
      <c r="A1636" s="19" t="n"/>
      <c r="B1636" s="19" t="n"/>
      <c r="C1636" s="19" t="n"/>
      <c r="D1636" s="19" t="n"/>
      <c r="E1636" s="19" t="n"/>
      <c r="F1636" s="19" t="n"/>
      <c r="G1636" s="19" t="n"/>
      <c r="H1636" s="19" t="n"/>
    </row>
    <row r="1637">
      <c r="A1637" s="19" t="n"/>
      <c r="B1637" s="19" t="n"/>
      <c r="C1637" s="19" t="n"/>
      <c r="D1637" s="19" t="n"/>
      <c r="E1637" s="19" t="n"/>
      <c r="F1637" s="19" t="n"/>
      <c r="G1637" s="19" t="n"/>
      <c r="H1637" s="19" t="n"/>
    </row>
    <row r="1638">
      <c r="A1638" s="19" t="n"/>
      <c r="B1638" s="19" t="n"/>
      <c r="C1638" s="19" t="n"/>
      <c r="D1638" s="19" t="n"/>
      <c r="E1638" s="19" t="n"/>
      <c r="F1638" s="19" t="n"/>
      <c r="G1638" s="19" t="n"/>
      <c r="H1638" s="19" t="n"/>
    </row>
    <row r="1639">
      <c r="A1639" s="19" t="n"/>
      <c r="B1639" s="19" t="n"/>
      <c r="C1639" s="19" t="n"/>
      <c r="D1639" s="19" t="n"/>
      <c r="E1639" s="19" t="n"/>
      <c r="F1639" s="19" t="n"/>
      <c r="G1639" s="19" t="n"/>
      <c r="H1639" s="19" t="n"/>
    </row>
    <row r="1640">
      <c r="A1640" s="19" t="n"/>
      <c r="B1640" s="19" t="n"/>
      <c r="C1640" s="19" t="n"/>
      <c r="D1640" s="19" t="n"/>
      <c r="E1640" s="19" t="n"/>
      <c r="F1640" s="19" t="n"/>
      <c r="G1640" s="19" t="n"/>
      <c r="H1640" s="19" t="n"/>
    </row>
    <row r="1641">
      <c r="A1641" s="19" t="n"/>
      <c r="B1641" s="19" t="n"/>
      <c r="C1641" s="19" t="n"/>
      <c r="D1641" s="19" t="n"/>
      <c r="E1641" s="19" t="n"/>
      <c r="F1641" s="19" t="n"/>
      <c r="G1641" s="19" t="n"/>
      <c r="H1641" s="19" t="n"/>
    </row>
    <row r="1642">
      <c r="A1642" s="19" t="n"/>
      <c r="B1642" s="19" t="n"/>
      <c r="C1642" s="19" t="n"/>
      <c r="D1642" s="19" t="n"/>
      <c r="E1642" s="19" t="n"/>
      <c r="F1642" s="19" t="n"/>
      <c r="G1642" s="19" t="n"/>
      <c r="H1642" s="19" t="n"/>
    </row>
    <row r="1643">
      <c r="A1643" s="19" t="n"/>
      <c r="B1643" s="19" t="n"/>
      <c r="C1643" s="19" t="n"/>
      <c r="D1643" s="19" t="n"/>
      <c r="E1643" s="19" t="n"/>
      <c r="F1643" s="19" t="n"/>
      <c r="G1643" s="19" t="n"/>
      <c r="H1643" s="19" t="n"/>
    </row>
    <row r="1644">
      <c r="A1644" s="19" t="n"/>
      <c r="B1644" s="19" t="n"/>
      <c r="C1644" s="19" t="n"/>
      <c r="D1644" s="19" t="n"/>
      <c r="E1644" s="19" t="n"/>
      <c r="F1644" s="19" t="n"/>
      <c r="G1644" s="19" t="n"/>
      <c r="H1644" s="19" t="n"/>
    </row>
    <row r="1645">
      <c r="A1645" s="19" t="n"/>
      <c r="B1645" s="19" t="n"/>
      <c r="C1645" s="19" t="n"/>
      <c r="D1645" s="19" t="n"/>
      <c r="E1645" s="19" t="n"/>
      <c r="F1645" s="19" t="n"/>
      <c r="G1645" s="19" t="n"/>
      <c r="H1645" s="19" t="n"/>
    </row>
    <row r="1646">
      <c r="A1646" s="19" t="n"/>
      <c r="B1646" s="19" t="n"/>
      <c r="C1646" s="19" t="n"/>
      <c r="D1646" s="19" t="n"/>
      <c r="E1646" s="19" t="n"/>
      <c r="F1646" s="19" t="n"/>
      <c r="G1646" s="19" t="n"/>
      <c r="H1646" s="19" t="n"/>
    </row>
    <row r="1647">
      <c r="A1647" s="19" t="n"/>
      <c r="B1647" s="19" t="n"/>
      <c r="C1647" s="19" t="n"/>
      <c r="D1647" s="19" t="n"/>
      <c r="E1647" s="19" t="n"/>
      <c r="F1647" s="19" t="n"/>
      <c r="G1647" s="19" t="n"/>
      <c r="H1647" s="19" t="n"/>
    </row>
    <row r="1648">
      <c r="A1648" s="19" t="n"/>
      <c r="B1648" s="19" t="n"/>
      <c r="C1648" s="19" t="n"/>
      <c r="D1648" s="19" t="n"/>
      <c r="E1648" s="19" t="n"/>
      <c r="F1648" s="19" t="n"/>
      <c r="G1648" s="19" t="n"/>
      <c r="H1648" s="19" t="n"/>
    </row>
    <row r="1649">
      <c r="A1649" s="19" t="n"/>
      <c r="B1649" s="19" t="n"/>
      <c r="C1649" s="19" t="n"/>
      <c r="D1649" s="19" t="n"/>
      <c r="E1649" s="19" t="n"/>
      <c r="F1649" s="19" t="n"/>
      <c r="G1649" s="19" t="n"/>
      <c r="H1649" s="19" t="n"/>
    </row>
    <row r="1650">
      <c r="A1650" s="19" t="n"/>
      <c r="B1650" s="19" t="n"/>
      <c r="C1650" s="19" t="n"/>
      <c r="D1650" s="19" t="n"/>
      <c r="E1650" s="19" t="n"/>
      <c r="F1650" s="19" t="n"/>
      <c r="G1650" s="19" t="n"/>
      <c r="H1650" s="19" t="n"/>
    </row>
    <row r="1651">
      <c r="A1651" s="19" t="n"/>
      <c r="B1651" s="19" t="n"/>
      <c r="C1651" s="19" t="n"/>
      <c r="D1651" s="19" t="n"/>
      <c r="E1651" s="19" t="n"/>
      <c r="F1651" s="19" t="n"/>
      <c r="G1651" s="19" t="n"/>
      <c r="H1651" s="19" t="n"/>
    </row>
    <row r="1652">
      <c r="A1652" s="19" t="n"/>
      <c r="B1652" s="19" t="n"/>
      <c r="C1652" s="19" t="n"/>
      <c r="D1652" s="19" t="n"/>
      <c r="E1652" s="19" t="n"/>
      <c r="F1652" s="19" t="n"/>
      <c r="G1652" s="19" t="n"/>
      <c r="H1652" s="19" t="n"/>
    </row>
    <row r="1653">
      <c r="A1653" s="19" t="n"/>
      <c r="B1653" s="19" t="n"/>
      <c r="C1653" s="19" t="n"/>
      <c r="D1653" s="19" t="n"/>
      <c r="E1653" s="19" t="n"/>
      <c r="F1653" s="19" t="n"/>
      <c r="G1653" s="19" t="n"/>
      <c r="H1653" s="19" t="n"/>
    </row>
    <row r="1654">
      <c r="A1654" s="19" t="n"/>
      <c r="B1654" s="19" t="n"/>
      <c r="C1654" s="19" t="n"/>
      <c r="D1654" s="19" t="n"/>
      <c r="E1654" s="19" t="n"/>
      <c r="F1654" s="19" t="n"/>
      <c r="G1654" s="19" t="n"/>
      <c r="H1654" s="19" t="n"/>
    </row>
    <row r="1655">
      <c r="A1655" s="19" t="n"/>
      <c r="B1655" s="19" t="n"/>
      <c r="C1655" s="19" t="n"/>
      <c r="D1655" s="19" t="n"/>
      <c r="E1655" s="19" t="n"/>
      <c r="F1655" s="19" t="n"/>
      <c r="G1655" s="19" t="n"/>
      <c r="H1655" s="19" t="n"/>
    </row>
    <row r="1656">
      <c r="A1656" s="19" t="n"/>
      <c r="B1656" s="19" t="n"/>
      <c r="C1656" s="19" t="n"/>
      <c r="D1656" s="19" t="n"/>
      <c r="E1656" s="19" t="n"/>
      <c r="F1656" s="19" t="n"/>
      <c r="G1656" s="19" t="n"/>
      <c r="H1656" s="19" t="n"/>
    </row>
    <row r="1657">
      <c r="A1657" s="19" t="n"/>
      <c r="B1657" s="19" t="n"/>
      <c r="C1657" s="19" t="n"/>
      <c r="D1657" s="19" t="n"/>
      <c r="E1657" s="19" t="n"/>
      <c r="F1657" s="19" t="n"/>
      <c r="G1657" s="19" t="n"/>
      <c r="H1657" s="19" t="n"/>
    </row>
    <row r="1658">
      <c r="A1658" s="19" t="n"/>
      <c r="B1658" s="19" t="n"/>
      <c r="C1658" s="19" t="n"/>
      <c r="D1658" s="19" t="n"/>
      <c r="E1658" s="19" t="n"/>
      <c r="F1658" s="19" t="n"/>
      <c r="G1658" s="19" t="n"/>
      <c r="H1658" s="19" t="n"/>
    </row>
    <row r="1659">
      <c r="A1659" s="19" t="n"/>
      <c r="B1659" s="19" t="n"/>
      <c r="C1659" s="19" t="n"/>
      <c r="D1659" s="19" t="n"/>
      <c r="E1659" s="19" t="n"/>
      <c r="F1659" s="19" t="n"/>
      <c r="G1659" s="19" t="n"/>
      <c r="H1659" s="19" t="n"/>
    </row>
    <row r="1660">
      <c r="A1660" s="19" t="n"/>
      <c r="B1660" s="19" t="n"/>
      <c r="C1660" s="19" t="n"/>
      <c r="D1660" s="19" t="n"/>
      <c r="E1660" s="19" t="n"/>
      <c r="F1660" s="19" t="n"/>
      <c r="G1660" s="19" t="n"/>
      <c r="H1660" s="19" t="n"/>
    </row>
    <row r="1661">
      <c r="A1661" s="19" t="n"/>
      <c r="B1661" s="19" t="n"/>
      <c r="C1661" s="19" t="n"/>
      <c r="D1661" s="19" t="n"/>
      <c r="E1661" s="19" t="n"/>
      <c r="F1661" s="19" t="n"/>
      <c r="G1661" s="19" t="n"/>
      <c r="H1661" s="19" t="n"/>
    </row>
    <row r="1662">
      <c r="A1662" s="19" t="n"/>
      <c r="B1662" s="19" t="n"/>
      <c r="C1662" s="19" t="n"/>
      <c r="D1662" s="19" t="n"/>
      <c r="E1662" s="19" t="n"/>
      <c r="F1662" s="19" t="n"/>
      <c r="G1662" s="19" t="n"/>
      <c r="H1662" s="19" t="n"/>
    </row>
    <row r="1663">
      <c r="A1663" s="19" t="n"/>
      <c r="B1663" s="19" t="n"/>
      <c r="C1663" s="19" t="n"/>
      <c r="D1663" s="19" t="n"/>
      <c r="E1663" s="19" t="n"/>
      <c r="F1663" s="19" t="n"/>
      <c r="G1663" s="19" t="n"/>
      <c r="H1663" s="19" t="n"/>
    </row>
    <row r="1664">
      <c r="A1664" s="19" t="n"/>
      <c r="B1664" s="19" t="n"/>
      <c r="C1664" s="19" t="n"/>
      <c r="D1664" s="19" t="n"/>
      <c r="E1664" s="19" t="n"/>
      <c r="F1664" s="19" t="n"/>
      <c r="G1664" s="19" t="n"/>
      <c r="H1664" s="19" t="n"/>
    </row>
    <row r="1665">
      <c r="A1665" s="19" t="n"/>
      <c r="B1665" s="19" t="n"/>
      <c r="C1665" s="19" t="n"/>
      <c r="D1665" s="19" t="n"/>
      <c r="E1665" s="19" t="n"/>
      <c r="F1665" s="19" t="n"/>
      <c r="G1665" s="19" t="n"/>
      <c r="H1665" s="19" t="n"/>
    </row>
    <row r="1666">
      <c r="A1666" s="19" t="n"/>
      <c r="B1666" s="19" t="n"/>
      <c r="C1666" s="19" t="n"/>
      <c r="D1666" s="19" t="n"/>
      <c r="E1666" s="19" t="n"/>
      <c r="F1666" s="19" t="n"/>
      <c r="G1666" s="19" t="n"/>
      <c r="H1666" s="19" t="n"/>
    </row>
    <row r="1667">
      <c r="A1667" s="19" t="n"/>
      <c r="B1667" s="19" t="n"/>
      <c r="C1667" s="19" t="n"/>
      <c r="D1667" s="19" t="n"/>
      <c r="E1667" s="19" t="n"/>
      <c r="F1667" s="19" t="n"/>
      <c r="G1667" s="19" t="n"/>
      <c r="H1667" s="19" t="n"/>
    </row>
    <row r="1668">
      <c r="A1668" s="19" t="n"/>
      <c r="B1668" s="19" t="n"/>
      <c r="C1668" s="19" t="n"/>
      <c r="D1668" s="19" t="n"/>
      <c r="E1668" s="19" t="n"/>
      <c r="F1668" s="19" t="n"/>
      <c r="G1668" s="19" t="n"/>
      <c r="H1668" s="19" t="n"/>
    </row>
    <row r="1669">
      <c r="A1669" s="19" t="n"/>
      <c r="B1669" s="19" t="n"/>
      <c r="C1669" s="19" t="n"/>
      <c r="D1669" s="19" t="n"/>
      <c r="E1669" s="19" t="n"/>
      <c r="F1669" s="19" t="n"/>
      <c r="G1669" s="19" t="n"/>
      <c r="H1669" s="19" t="n"/>
    </row>
    <row r="1670">
      <c r="A1670" s="19" t="n"/>
      <c r="B1670" s="19" t="n"/>
      <c r="C1670" s="19" t="n"/>
      <c r="D1670" s="19" t="n"/>
      <c r="E1670" s="19" t="n"/>
      <c r="F1670" s="19" t="n"/>
      <c r="G1670" s="19" t="n"/>
      <c r="H1670" s="19" t="n"/>
    </row>
    <row r="1671">
      <c r="A1671" s="19" t="n"/>
      <c r="B1671" s="19" t="n"/>
      <c r="C1671" s="19" t="n"/>
      <c r="D1671" s="19" t="n"/>
      <c r="E1671" s="19" t="n"/>
      <c r="F1671" s="19" t="n"/>
      <c r="G1671" s="19" t="n"/>
      <c r="H1671" s="19" t="n"/>
    </row>
    <row r="1672">
      <c r="A1672" s="19" t="n"/>
      <c r="B1672" s="19" t="n"/>
      <c r="C1672" s="19" t="n"/>
      <c r="D1672" s="19" t="n"/>
      <c r="E1672" s="19" t="n"/>
      <c r="F1672" s="19" t="n"/>
      <c r="G1672" s="19" t="n"/>
      <c r="H1672" s="19" t="n"/>
    </row>
    <row r="1673">
      <c r="A1673" s="19" t="n"/>
      <c r="B1673" s="19" t="n"/>
      <c r="C1673" s="19" t="n"/>
      <c r="D1673" s="19" t="n"/>
      <c r="E1673" s="19" t="n"/>
      <c r="F1673" s="19" t="n"/>
      <c r="G1673" s="19" t="n"/>
      <c r="H1673" s="19" t="n"/>
    </row>
    <row r="1674">
      <c r="A1674" s="19" t="n"/>
      <c r="B1674" s="19" t="n"/>
      <c r="C1674" s="19" t="n"/>
      <c r="D1674" s="19" t="n"/>
      <c r="E1674" s="19" t="n"/>
      <c r="F1674" s="19" t="n"/>
      <c r="G1674" s="19" t="n"/>
      <c r="H1674" s="19" t="n"/>
    </row>
    <row r="1675">
      <c r="A1675" s="19" t="n"/>
      <c r="B1675" s="19" t="n"/>
      <c r="C1675" s="19" t="n"/>
      <c r="D1675" s="19" t="n"/>
      <c r="E1675" s="19" t="n"/>
      <c r="F1675" s="19" t="n"/>
      <c r="G1675" s="19" t="n"/>
      <c r="H1675" s="19" t="n"/>
    </row>
    <row r="1676">
      <c r="A1676" s="19" t="n"/>
      <c r="B1676" s="19" t="n"/>
      <c r="C1676" s="19" t="n"/>
      <c r="D1676" s="19" t="n"/>
      <c r="E1676" s="19" t="n"/>
      <c r="F1676" s="19" t="n"/>
      <c r="G1676" s="19" t="n"/>
      <c r="H1676" s="19" t="n"/>
    </row>
    <row r="1677">
      <c r="A1677" s="19" t="n"/>
      <c r="B1677" s="19" t="n"/>
      <c r="C1677" s="19" t="n"/>
      <c r="D1677" s="19" t="n"/>
      <c r="E1677" s="19" t="n"/>
      <c r="F1677" s="19" t="n"/>
      <c r="G1677" s="19" t="n"/>
      <c r="H1677" s="19" t="n"/>
    </row>
    <row r="1678">
      <c r="A1678" s="19" t="n"/>
      <c r="B1678" s="19" t="n"/>
      <c r="C1678" s="19" t="n"/>
      <c r="D1678" s="19" t="n"/>
      <c r="E1678" s="19" t="n"/>
      <c r="F1678" s="19" t="n"/>
      <c r="G1678" s="19" t="n"/>
      <c r="H1678" s="19" t="n"/>
    </row>
    <row r="1679">
      <c r="A1679" s="19" t="n"/>
      <c r="B1679" s="19" t="n"/>
      <c r="C1679" s="19" t="n"/>
      <c r="D1679" s="19" t="n"/>
      <c r="E1679" s="19" t="n"/>
      <c r="F1679" s="19" t="n"/>
      <c r="G1679" s="19" t="n"/>
      <c r="H1679" s="19" t="n"/>
    </row>
    <row r="1680">
      <c r="A1680" s="19" t="n"/>
      <c r="B1680" s="19" t="n"/>
      <c r="C1680" s="19" t="n"/>
      <c r="D1680" s="19" t="n"/>
      <c r="E1680" s="19" t="n"/>
      <c r="F1680" s="19" t="n"/>
      <c r="G1680" s="19" t="n"/>
      <c r="H1680" s="19" t="n"/>
    </row>
    <row r="1681">
      <c r="A1681" s="19" t="n"/>
      <c r="B1681" s="19" t="n"/>
      <c r="C1681" s="19" t="n"/>
      <c r="D1681" s="19" t="n"/>
      <c r="E1681" s="19" t="n"/>
      <c r="F1681" s="19" t="n"/>
      <c r="G1681" s="19" t="n"/>
      <c r="H1681" s="19" t="n"/>
    </row>
    <row r="1682">
      <c r="A1682" s="19" t="n"/>
      <c r="B1682" s="19" t="n"/>
      <c r="C1682" s="19" t="n"/>
      <c r="D1682" s="19" t="n"/>
      <c r="E1682" s="19" t="n"/>
      <c r="F1682" s="19" t="n"/>
      <c r="G1682" s="19" t="n"/>
      <c r="H1682" s="19" t="n"/>
    </row>
    <row r="1683">
      <c r="A1683" s="19" t="n"/>
      <c r="B1683" s="19" t="n"/>
      <c r="C1683" s="19" t="n"/>
      <c r="D1683" s="19" t="n"/>
      <c r="E1683" s="19" t="n"/>
      <c r="F1683" s="19" t="n"/>
      <c r="G1683" s="19" t="n"/>
      <c r="H1683" s="19" t="n"/>
    </row>
    <row r="1684">
      <c r="A1684" s="19" t="n"/>
      <c r="B1684" s="19" t="n"/>
      <c r="C1684" s="19" t="n"/>
      <c r="D1684" s="19" t="n"/>
      <c r="E1684" s="19" t="n"/>
      <c r="F1684" s="19" t="n"/>
      <c r="G1684" s="19" t="n"/>
      <c r="H1684" s="19" t="n"/>
    </row>
    <row r="1685">
      <c r="A1685" s="19" t="n"/>
      <c r="B1685" s="19" t="n"/>
      <c r="C1685" s="19" t="n"/>
      <c r="D1685" s="19" t="n"/>
      <c r="E1685" s="19" t="n"/>
      <c r="F1685" s="19" t="n"/>
      <c r="G1685" s="19" t="n"/>
      <c r="H1685" s="19" t="n"/>
    </row>
    <row r="1686">
      <c r="A1686" s="19" t="n"/>
      <c r="B1686" s="19" t="n"/>
      <c r="C1686" s="19" t="n"/>
      <c r="D1686" s="19" t="n"/>
      <c r="E1686" s="19" t="n"/>
      <c r="F1686" s="19" t="n"/>
      <c r="G1686" s="19" t="n"/>
      <c r="H1686" s="19" t="n"/>
    </row>
    <row r="1687">
      <c r="A1687" s="19" t="n"/>
      <c r="B1687" s="19" t="n"/>
      <c r="C1687" s="19" t="n"/>
      <c r="D1687" s="19" t="n"/>
      <c r="E1687" s="19" t="n"/>
      <c r="F1687" s="19" t="n"/>
      <c r="G1687" s="19" t="n"/>
      <c r="H1687" s="19" t="n"/>
    </row>
    <row r="1688">
      <c r="A1688" s="19" t="n"/>
      <c r="B1688" s="19" t="n"/>
      <c r="C1688" s="19" t="n"/>
      <c r="D1688" s="19" t="n"/>
      <c r="E1688" s="19" t="n"/>
      <c r="F1688" s="19" t="n"/>
      <c r="G1688" s="19" t="n"/>
      <c r="H1688" s="19" t="n"/>
    </row>
    <row r="1689">
      <c r="A1689" s="19" t="n"/>
      <c r="B1689" s="19" t="n"/>
      <c r="C1689" s="19" t="n"/>
      <c r="D1689" s="19" t="n"/>
      <c r="E1689" s="19" t="n"/>
      <c r="F1689" s="19" t="n"/>
      <c r="G1689" s="19" t="n"/>
      <c r="H1689" s="19" t="n"/>
    </row>
    <row r="1690">
      <c r="A1690" s="19" t="n"/>
      <c r="B1690" s="19" t="n"/>
      <c r="C1690" s="19" t="n"/>
      <c r="D1690" s="19" t="n"/>
      <c r="E1690" s="19" t="n"/>
      <c r="F1690" s="19" t="n"/>
      <c r="G1690" s="19" t="n"/>
      <c r="H1690" s="19" t="n"/>
    </row>
    <row r="1691">
      <c r="A1691" s="19" t="n"/>
      <c r="B1691" s="19" t="n"/>
      <c r="C1691" s="19" t="n"/>
      <c r="D1691" s="19" t="n"/>
      <c r="E1691" s="19" t="n"/>
      <c r="F1691" s="19" t="n"/>
      <c r="G1691" s="19" t="n"/>
      <c r="H1691" s="19" t="n"/>
    </row>
    <row r="1692">
      <c r="A1692" s="19" t="n"/>
      <c r="B1692" s="19" t="n"/>
      <c r="C1692" s="19" t="n"/>
      <c r="D1692" s="19" t="n"/>
      <c r="E1692" s="19" t="n"/>
      <c r="F1692" s="19" t="n"/>
      <c r="G1692" s="19" t="n"/>
      <c r="H1692" s="19" t="n"/>
    </row>
    <row r="1693">
      <c r="A1693" s="19" t="n"/>
      <c r="B1693" s="19" t="n"/>
      <c r="C1693" s="19" t="n"/>
      <c r="D1693" s="19" t="n"/>
      <c r="E1693" s="19" t="n"/>
      <c r="F1693" s="19" t="n"/>
      <c r="G1693" s="19" t="n"/>
      <c r="H1693" s="19" t="n"/>
    </row>
    <row r="1694">
      <c r="A1694" s="19" t="n"/>
      <c r="B1694" s="19" t="n"/>
      <c r="C1694" s="19" t="n"/>
      <c r="D1694" s="19" t="n"/>
      <c r="E1694" s="19" t="n"/>
      <c r="F1694" s="19" t="n"/>
      <c r="G1694" s="19" t="n"/>
      <c r="H1694" s="19" t="n"/>
    </row>
    <row r="1695">
      <c r="A1695" s="19" t="n"/>
      <c r="B1695" s="19" t="n"/>
      <c r="C1695" s="19" t="n"/>
      <c r="D1695" s="19" t="n"/>
      <c r="E1695" s="19" t="n"/>
      <c r="F1695" s="19" t="n"/>
      <c r="G1695" s="19" t="n"/>
      <c r="H1695" s="19" t="n"/>
    </row>
    <row r="1696">
      <c r="A1696" s="19" t="n"/>
      <c r="B1696" s="19" t="n"/>
      <c r="C1696" s="19" t="n"/>
      <c r="D1696" s="19" t="n"/>
      <c r="E1696" s="19" t="n"/>
      <c r="F1696" s="19" t="n"/>
      <c r="G1696" s="19" t="n"/>
      <c r="H1696" s="19" t="n"/>
    </row>
    <row r="1697">
      <c r="A1697" s="19" t="n"/>
      <c r="B1697" s="19" t="n"/>
      <c r="C1697" s="19" t="n"/>
      <c r="D1697" s="19" t="n"/>
      <c r="E1697" s="19" t="n"/>
      <c r="F1697" s="19" t="n"/>
      <c r="G1697" s="19" t="n"/>
      <c r="H1697" s="19" t="n"/>
    </row>
    <row r="1698">
      <c r="A1698" s="19" t="n"/>
      <c r="B1698" s="19" t="n"/>
      <c r="C1698" s="19" t="n"/>
      <c r="D1698" s="19" t="n"/>
      <c r="E1698" s="19" t="n"/>
      <c r="F1698" s="19" t="n"/>
      <c r="G1698" s="19" t="n"/>
      <c r="H1698" s="19" t="n"/>
    </row>
    <row r="1699">
      <c r="A1699" s="19" t="n"/>
      <c r="B1699" s="19" t="n"/>
      <c r="C1699" s="19" t="n"/>
      <c r="D1699" s="19" t="n"/>
      <c r="E1699" s="19" t="n"/>
      <c r="F1699" s="19" t="n"/>
      <c r="G1699" s="19" t="n"/>
      <c r="H1699" s="19" t="n"/>
    </row>
    <row r="1700">
      <c r="A1700" s="19" t="n"/>
      <c r="B1700" s="19" t="n"/>
      <c r="C1700" s="19" t="n"/>
      <c r="D1700" s="19" t="n"/>
      <c r="E1700" s="19" t="n"/>
      <c r="F1700" s="19" t="n"/>
      <c r="G1700" s="19" t="n"/>
      <c r="H1700" s="19" t="n"/>
    </row>
    <row r="1701">
      <c r="A1701" s="19" t="n"/>
      <c r="B1701" s="19" t="n"/>
      <c r="C1701" s="19" t="n"/>
      <c r="D1701" s="19" t="n"/>
      <c r="E1701" s="19" t="n"/>
      <c r="F1701" s="19" t="n"/>
      <c r="G1701" s="19" t="n"/>
      <c r="H1701" s="19" t="n"/>
    </row>
    <row r="1702">
      <c r="A1702" s="19" t="n"/>
      <c r="B1702" s="19" t="n"/>
      <c r="C1702" s="19" t="n"/>
      <c r="D1702" s="19" t="n"/>
      <c r="E1702" s="19" t="n"/>
      <c r="F1702" s="19" t="n"/>
      <c r="G1702" s="19" t="n"/>
      <c r="H1702" s="19" t="n"/>
    </row>
    <row r="1703">
      <c r="A1703" s="19" t="n"/>
      <c r="B1703" s="19" t="n"/>
      <c r="C1703" s="19" t="n"/>
      <c r="D1703" s="19" t="n"/>
      <c r="E1703" s="19" t="n"/>
      <c r="F1703" s="19" t="n"/>
      <c r="G1703" s="19" t="n"/>
      <c r="H1703" s="19" t="n"/>
    </row>
    <row r="1704">
      <c r="A1704" s="19" t="n"/>
      <c r="B1704" s="19" t="n"/>
      <c r="C1704" s="19" t="n"/>
      <c r="D1704" s="19" t="n"/>
      <c r="E1704" s="19" t="n"/>
      <c r="F1704" s="19" t="n"/>
      <c r="G1704" s="19" t="n"/>
      <c r="H1704" s="19" t="n"/>
    </row>
    <row r="1705">
      <c r="A1705" s="19" t="n"/>
      <c r="B1705" s="19" t="n"/>
      <c r="C1705" s="19" t="n"/>
      <c r="D1705" s="19" t="n"/>
      <c r="E1705" s="19" t="n"/>
      <c r="F1705" s="19" t="n"/>
      <c r="G1705" s="19" t="n"/>
      <c r="H1705" s="19" t="n"/>
    </row>
    <row r="1706">
      <c r="A1706" s="19" t="n"/>
      <c r="B1706" s="19" t="n"/>
      <c r="C1706" s="19" t="n"/>
      <c r="D1706" s="19" t="n"/>
      <c r="E1706" s="19" t="n"/>
      <c r="F1706" s="19" t="n"/>
      <c r="G1706" s="19" t="n"/>
      <c r="H1706" s="19" t="n"/>
    </row>
    <row r="1707">
      <c r="A1707" s="19" t="n"/>
      <c r="B1707" s="19" t="n"/>
      <c r="C1707" s="19" t="n"/>
      <c r="D1707" s="19" t="n"/>
      <c r="E1707" s="19" t="n"/>
      <c r="F1707" s="19" t="n"/>
      <c r="G1707" s="19" t="n"/>
      <c r="H1707" s="19" t="n"/>
    </row>
    <row r="1708">
      <c r="A1708" s="19" t="n"/>
      <c r="B1708" s="19" t="n"/>
      <c r="C1708" s="19" t="n"/>
      <c r="D1708" s="19" t="n"/>
      <c r="E1708" s="19" t="n"/>
      <c r="F1708" s="19" t="n"/>
      <c r="G1708" s="19" t="n"/>
      <c r="H1708" s="19" t="n"/>
    </row>
    <row r="1709">
      <c r="A1709" s="19" t="n"/>
      <c r="B1709" s="19" t="n"/>
      <c r="C1709" s="19" t="n"/>
      <c r="D1709" s="19" t="n"/>
      <c r="E1709" s="19" t="n"/>
      <c r="F1709" s="19" t="n"/>
      <c r="G1709" s="19" t="n"/>
      <c r="H1709" s="19" t="n"/>
    </row>
    <row r="1710">
      <c r="A1710" s="19" t="n"/>
      <c r="B1710" s="19" t="n"/>
      <c r="C1710" s="19" t="n"/>
      <c r="D1710" s="19" t="n"/>
      <c r="E1710" s="19" t="n"/>
      <c r="F1710" s="19" t="n"/>
      <c r="G1710" s="19" t="n"/>
      <c r="H1710" s="19" t="n"/>
    </row>
    <row r="1711">
      <c r="A1711" s="19" t="n"/>
      <c r="B1711" s="19" t="n"/>
      <c r="C1711" s="19" t="n"/>
      <c r="D1711" s="19" t="n"/>
      <c r="E1711" s="19" t="n"/>
      <c r="F1711" s="19" t="n"/>
      <c r="G1711" s="19" t="n"/>
      <c r="H1711" s="19" t="n"/>
    </row>
    <row r="1712">
      <c r="A1712" s="19" t="n"/>
      <c r="B1712" s="19" t="n"/>
      <c r="C1712" s="19" t="n"/>
      <c r="D1712" s="19" t="n"/>
      <c r="E1712" s="19" t="n"/>
      <c r="F1712" s="19" t="n"/>
      <c r="G1712" s="19" t="n"/>
      <c r="H1712" s="19" t="n"/>
    </row>
    <row r="1713">
      <c r="A1713" s="19" t="n"/>
      <c r="B1713" s="19" t="n"/>
      <c r="C1713" s="19" t="n"/>
      <c r="D1713" s="19" t="n"/>
      <c r="E1713" s="19" t="n"/>
      <c r="F1713" s="19" t="n"/>
      <c r="G1713" s="19" t="n"/>
      <c r="H1713" s="19" t="n"/>
    </row>
    <row r="1714">
      <c r="A1714" s="19" t="n"/>
      <c r="B1714" s="19" t="n"/>
      <c r="C1714" s="19" t="n"/>
      <c r="D1714" s="19" t="n"/>
      <c r="E1714" s="19" t="n"/>
      <c r="F1714" s="19" t="n"/>
      <c r="G1714" s="19" t="n"/>
      <c r="H1714" s="19" t="n"/>
    </row>
    <row r="1715">
      <c r="A1715" s="19" t="n"/>
      <c r="B1715" s="19" t="n"/>
      <c r="C1715" s="19" t="n"/>
      <c r="D1715" s="19" t="n"/>
      <c r="E1715" s="19" t="n"/>
      <c r="F1715" s="19" t="n"/>
      <c r="G1715" s="19" t="n"/>
      <c r="H1715" s="19" t="n"/>
    </row>
    <row r="1716">
      <c r="A1716" s="19" t="n"/>
      <c r="B1716" s="19" t="n"/>
      <c r="C1716" s="19" t="n"/>
      <c r="D1716" s="19" t="n"/>
      <c r="E1716" s="19" t="n"/>
      <c r="F1716" s="19" t="n"/>
      <c r="G1716" s="19" t="n"/>
      <c r="H1716" s="19" t="n"/>
    </row>
    <row r="1717">
      <c r="A1717" s="19" t="n"/>
      <c r="B1717" s="19" t="n"/>
      <c r="C1717" s="19" t="n"/>
      <c r="D1717" s="19" t="n"/>
      <c r="E1717" s="19" t="n"/>
      <c r="F1717" s="19" t="n"/>
      <c r="G1717" s="19" t="n"/>
      <c r="H1717" s="19" t="n"/>
    </row>
    <row r="1718">
      <c r="A1718" s="19" t="n"/>
      <c r="B1718" s="19" t="n"/>
      <c r="C1718" s="19" t="n"/>
      <c r="D1718" s="19" t="n"/>
      <c r="E1718" s="19" t="n"/>
      <c r="F1718" s="19" t="n"/>
      <c r="G1718" s="19" t="n"/>
      <c r="H1718" s="19" t="n"/>
    </row>
    <row r="1719">
      <c r="A1719" s="19" t="n"/>
      <c r="B1719" s="19" t="n"/>
      <c r="C1719" s="19" t="n"/>
      <c r="D1719" s="19" t="n"/>
      <c r="E1719" s="19" t="n"/>
      <c r="F1719" s="19" t="n"/>
      <c r="G1719" s="19" t="n"/>
      <c r="H1719" s="19" t="n"/>
    </row>
    <row r="1720">
      <c r="A1720" s="19" t="n"/>
      <c r="B1720" s="19" t="n"/>
      <c r="C1720" s="19" t="n"/>
      <c r="D1720" s="19" t="n"/>
      <c r="E1720" s="19" t="n"/>
      <c r="F1720" s="19" t="n"/>
      <c r="G1720" s="19" t="n"/>
      <c r="H1720" s="19" t="n"/>
    </row>
    <row r="1721">
      <c r="A1721" s="19" t="n"/>
      <c r="B1721" s="19" t="n"/>
      <c r="C1721" s="19" t="n"/>
      <c r="D1721" s="19" t="n"/>
      <c r="E1721" s="19" t="n"/>
      <c r="F1721" s="19" t="n"/>
      <c r="G1721" s="19" t="n"/>
      <c r="H1721" s="19" t="n"/>
    </row>
    <row r="1722">
      <c r="A1722" s="19" t="n"/>
      <c r="B1722" s="19" t="n"/>
      <c r="C1722" s="19" t="n"/>
      <c r="D1722" s="19" t="n"/>
      <c r="E1722" s="19" t="n"/>
      <c r="F1722" s="19" t="n"/>
      <c r="G1722" s="19" t="n"/>
      <c r="H1722" s="19" t="n"/>
    </row>
    <row r="1723">
      <c r="A1723" s="19" t="n"/>
      <c r="B1723" s="19" t="n"/>
      <c r="C1723" s="19" t="n"/>
      <c r="D1723" s="19" t="n"/>
      <c r="E1723" s="19" t="n"/>
      <c r="F1723" s="19" t="n"/>
      <c r="G1723" s="19" t="n"/>
      <c r="H1723" s="19" t="n"/>
    </row>
    <row r="1724">
      <c r="A1724" s="19" t="n"/>
      <c r="B1724" s="19" t="n"/>
      <c r="C1724" s="19" t="n"/>
      <c r="D1724" s="19" t="n"/>
      <c r="E1724" s="19" t="n"/>
      <c r="F1724" s="19" t="n"/>
      <c r="G1724" s="19" t="n"/>
      <c r="H1724" s="19" t="n"/>
    </row>
    <row r="1725">
      <c r="A1725" s="19" t="n"/>
      <c r="B1725" s="19" t="n"/>
      <c r="C1725" s="19" t="n"/>
      <c r="D1725" s="19" t="n"/>
      <c r="E1725" s="19" t="n"/>
      <c r="F1725" s="19" t="n"/>
      <c r="G1725" s="19" t="n"/>
      <c r="H1725" s="19" t="n"/>
    </row>
    <row r="1726">
      <c r="A1726" s="19" t="n"/>
      <c r="B1726" s="19" t="n"/>
      <c r="C1726" s="19" t="n"/>
      <c r="D1726" s="19" t="n"/>
      <c r="E1726" s="19" t="n"/>
      <c r="F1726" s="19" t="n"/>
      <c r="G1726" s="19" t="n"/>
      <c r="H1726" s="19" t="n"/>
    </row>
    <row r="1727">
      <c r="A1727" s="19" t="n"/>
      <c r="B1727" s="19" t="n"/>
      <c r="C1727" s="19" t="n"/>
      <c r="D1727" s="19" t="n"/>
      <c r="E1727" s="19" t="n"/>
      <c r="F1727" s="19" t="n"/>
      <c r="G1727" s="19" t="n"/>
      <c r="H1727" s="19" t="n"/>
    </row>
    <row r="1728">
      <c r="A1728" s="19" t="n"/>
      <c r="B1728" s="19" t="n"/>
      <c r="C1728" s="19" t="n"/>
      <c r="D1728" s="19" t="n"/>
      <c r="E1728" s="19" t="n"/>
      <c r="F1728" s="19" t="n"/>
      <c r="G1728" s="19" t="n"/>
      <c r="H1728" s="19" t="n"/>
    </row>
    <row r="1729">
      <c r="A1729" s="19" t="n"/>
      <c r="B1729" s="19" t="n"/>
      <c r="C1729" s="19" t="n"/>
      <c r="D1729" s="19" t="n"/>
      <c r="E1729" s="19" t="n"/>
      <c r="F1729" s="19" t="n"/>
      <c r="G1729" s="19" t="n"/>
      <c r="H1729" s="19" t="n"/>
    </row>
    <row r="1730">
      <c r="A1730" s="19" t="n"/>
      <c r="B1730" s="19" t="n"/>
      <c r="C1730" s="19" t="n"/>
      <c r="D1730" s="19" t="n"/>
      <c r="E1730" s="19" t="n"/>
      <c r="F1730" s="19" t="n"/>
      <c r="G1730" s="19" t="n"/>
      <c r="H1730" s="19" t="n"/>
    </row>
    <row r="1731">
      <c r="A1731" s="19" t="n"/>
      <c r="B1731" s="19" t="n"/>
      <c r="C1731" s="19" t="n"/>
      <c r="D1731" s="19" t="n"/>
      <c r="E1731" s="19" t="n"/>
      <c r="F1731" s="19" t="n"/>
      <c r="G1731" s="19" t="n"/>
      <c r="H1731" s="19" t="n"/>
    </row>
    <row r="1732">
      <c r="A1732" s="19" t="n"/>
      <c r="B1732" s="19" t="n"/>
      <c r="C1732" s="19" t="n"/>
      <c r="D1732" s="19" t="n"/>
      <c r="E1732" s="19" t="n"/>
      <c r="F1732" s="19" t="n"/>
      <c r="G1732" s="19" t="n"/>
      <c r="H1732" s="19" t="n"/>
    </row>
    <row r="1733">
      <c r="A1733" s="19" t="n"/>
      <c r="B1733" s="19" t="n"/>
      <c r="C1733" s="19" t="n"/>
      <c r="D1733" s="19" t="n"/>
      <c r="E1733" s="19" t="n"/>
      <c r="F1733" s="19" t="n"/>
      <c r="G1733" s="19" t="n"/>
      <c r="H1733" s="19" t="n"/>
    </row>
    <row r="1734">
      <c r="A1734" s="19" t="n"/>
      <c r="B1734" s="19" t="n"/>
      <c r="C1734" s="19" t="n"/>
      <c r="D1734" s="19" t="n"/>
      <c r="E1734" s="19" t="n"/>
      <c r="F1734" s="19" t="n"/>
      <c r="G1734" s="19" t="n"/>
      <c r="H1734" s="19" t="n"/>
    </row>
    <row r="1735">
      <c r="A1735" s="19" t="n"/>
      <c r="B1735" s="19" t="n"/>
      <c r="C1735" s="19" t="n"/>
      <c r="D1735" s="19" t="n"/>
      <c r="E1735" s="19" t="n"/>
      <c r="F1735" s="19" t="n"/>
      <c r="G1735" s="19" t="n"/>
      <c r="H1735" s="19" t="n"/>
    </row>
    <row r="1736">
      <c r="A1736" s="19" t="n"/>
      <c r="B1736" s="19" t="n"/>
      <c r="C1736" s="19" t="n"/>
      <c r="D1736" s="19" t="n"/>
      <c r="E1736" s="19" t="n"/>
      <c r="F1736" s="19" t="n"/>
      <c r="G1736" s="19" t="n"/>
      <c r="H1736" s="19" t="n"/>
    </row>
    <row r="1737">
      <c r="A1737" s="19" t="n"/>
      <c r="B1737" s="19" t="n"/>
      <c r="C1737" s="19" t="n"/>
      <c r="D1737" s="19" t="n"/>
      <c r="E1737" s="19" t="n"/>
      <c r="F1737" s="19" t="n"/>
      <c r="G1737" s="19" t="n"/>
      <c r="H1737" s="19" t="n"/>
    </row>
    <row r="1738">
      <c r="A1738" s="19" t="n"/>
      <c r="B1738" s="19" t="n"/>
      <c r="C1738" s="19" t="n"/>
      <c r="D1738" s="19" t="n"/>
      <c r="E1738" s="19" t="n"/>
      <c r="F1738" s="19" t="n"/>
      <c r="G1738" s="19" t="n"/>
      <c r="H1738" s="19" t="n"/>
    </row>
    <row r="1739">
      <c r="A1739" s="19" t="n"/>
      <c r="B1739" s="19" t="n"/>
      <c r="C1739" s="19" t="n"/>
      <c r="D1739" s="19" t="n"/>
      <c r="E1739" s="19" t="n"/>
      <c r="F1739" s="19" t="n"/>
      <c r="G1739" s="19" t="n"/>
      <c r="H1739" s="19" t="n"/>
    </row>
    <row r="1740">
      <c r="A1740" s="19" t="n"/>
      <c r="B1740" s="19" t="n"/>
      <c r="C1740" s="19" t="n"/>
      <c r="D1740" s="19" t="n"/>
      <c r="E1740" s="19" t="n"/>
      <c r="F1740" s="19" t="n"/>
      <c r="G1740" s="19" t="n"/>
      <c r="H1740" s="19" t="n"/>
    </row>
    <row r="1741">
      <c r="A1741" s="19" t="n"/>
      <c r="B1741" s="19" t="n"/>
      <c r="C1741" s="19" t="n"/>
      <c r="D1741" s="19" t="n"/>
      <c r="E1741" s="19" t="n"/>
      <c r="F1741" s="19" t="n"/>
      <c r="G1741" s="19" t="n"/>
      <c r="H1741" s="19" t="n"/>
    </row>
    <row r="1742">
      <c r="A1742" s="19" t="n"/>
      <c r="B1742" s="19" t="n"/>
      <c r="C1742" s="19" t="n"/>
      <c r="D1742" s="19" t="n"/>
      <c r="E1742" s="19" t="n"/>
      <c r="F1742" s="19" t="n"/>
      <c r="G1742" s="19" t="n"/>
      <c r="H1742" s="19" t="n"/>
    </row>
    <row r="1743">
      <c r="A1743" s="19" t="n"/>
      <c r="B1743" s="19" t="n"/>
      <c r="C1743" s="19" t="n"/>
      <c r="D1743" s="19" t="n"/>
      <c r="E1743" s="19" t="n"/>
      <c r="F1743" s="19" t="n"/>
      <c r="G1743" s="19" t="n"/>
      <c r="H1743" s="19" t="n"/>
    </row>
    <row r="1744">
      <c r="A1744" s="19" t="n"/>
      <c r="B1744" s="19" t="n"/>
      <c r="C1744" s="19" t="n"/>
      <c r="D1744" s="19" t="n"/>
      <c r="E1744" s="19" t="n"/>
      <c r="F1744" s="19" t="n"/>
      <c r="G1744" s="19" t="n"/>
      <c r="H1744" s="19" t="n"/>
    </row>
    <row r="1745">
      <c r="A1745" s="19" t="n"/>
      <c r="B1745" s="19" t="n"/>
      <c r="C1745" s="19" t="n"/>
      <c r="D1745" s="19" t="n"/>
      <c r="E1745" s="19" t="n"/>
      <c r="F1745" s="19" t="n"/>
      <c r="G1745" s="19" t="n"/>
      <c r="H1745" s="19" t="n"/>
    </row>
    <row r="1746">
      <c r="A1746" s="19" t="n"/>
      <c r="B1746" s="19" t="n"/>
      <c r="C1746" s="19" t="n"/>
      <c r="D1746" s="19" t="n"/>
      <c r="E1746" s="19" t="n"/>
      <c r="F1746" s="19" t="n"/>
      <c r="G1746" s="19" t="n"/>
      <c r="H1746" s="19" t="n"/>
    </row>
    <row r="1747">
      <c r="A1747" s="19" t="n"/>
      <c r="B1747" s="19" t="n"/>
      <c r="C1747" s="19" t="n"/>
      <c r="D1747" s="19" t="n"/>
      <c r="E1747" s="19" t="n"/>
      <c r="F1747" s="19" t="n"/>
      <c r="G1747" s="19" t="n"/>
      <c r="H1747" s="19" t="n"/>
    </row>
    <row r="1748">
      <c r="A1748" s="19" t="n"/>
      <c r="B1748" s="19" t="n"/>
      <c r="C1748" s="19" t="n"/>
      <c r="D1748" s="19" t="n"/>
      <c r="E1748" s="19" t="n"/>
      <c r="F1748" s="19" t="n"/>
      <c r="G1748" s="19" t="n"/>
      <c r="H1748" s="19" t="n"/>
    </row>
    <row r="1749">
      <c r="A1749" s="19" t="n"/>
      <c r="B1749" s="19" t="n"/>
      <c r="C1749" s="19" t="n"/>
      <c r="D1749" s="19" t="n"/>
      <c r="E1749" s="19" t="n"/>
      <c r="F1749" s="19" t="n"/>
      <c r="G1749" s="19" t="n"/>
      <c r="H1749" s="19" t="n"/>
    </row>
    <row r="1750">
      <c r="A1750" s="19" t="n"/>
      <c r="B1750" s="19" t="n"/>
      <c r="C1750" s="19" t="n"/>
      <c r="D1750" s="19" t="n"/>
      <c r="E1750" s="19" t="n"/>
      <c r="F1750" s="19" t="n"/>
      <c r="G1750" s="19" t="n"/>
      <c r="H1750" s="19" t="n"/>
    </row>
    <row r="1751">
      <c r="A1751" s="19" t="n"/>
      <c r="B1751" s="19" t="n"/>
      <c r="C1751" s="19" t="n"/>
      <c r="D1751" s="19" t="n"/>
      <c r="E1751" s="19" t="n"/>
      <c r="F1751" s="19" t="n"/>
      <c r="G1751" s="19" t="n"/>
      <c r="H1751" s="19" t="n"/>
    </row>
    <row r="1752">
      <c r="A1752" s="19" t="n"/>
      <c r="B1752" s="19" t="n"/>
      <c r="C1752" s="19" t="n"/>
      <c r="D1752" s="19" t="n"/>
      <c r="E1752" s="19" t="n"/>
      <c r="F1752" s="19" t="n"/>
      <c r="G1752" s="19" t="n"/>
      <c r="H1752" s="19" t="n"/>
    </row>
    <row r="1753">
      <c r="A1753" s="19" t="n"/>
      <c r="B1753" s="19" t="n"/>
      <c r="C1753" s="19" t="n"/>
      <c r="D1753" s="19" t="n"/>
      <c r="E1753" s="19" t="n"/>
      <c r="F1753" s="19" t="n"/>
      <c r="G1753" s="19" t="n"/>
      <c r="H1753" s="19" t="n"/>
    </row>
    <row r="1754">
      <c r="A1754" s="19" t="n"/>
      <c r="B1754" s="19" t="n"/>
      <c r="C1754" s="19" t="n"/>
      <c r="D1754" s="19" t="n"/>
      <c r="E1754" s="19" t="n"/>
      <c r="F1754" s="19" t="n"/>
      <c r="G1754" s="19" t="n"/>
      <c r="H1754" s="19" t="n"/>
    </row>
    <row r="1755">
      <c r="A1755" s="19" t="n"/>
      <c r="B1755" s="19" t="n"/>
      <c r="C1755" s="19" t="n"/>
      <c r="D1755" s="19" t="n"/>
      <c r="E1755" s="19" t="n"/>
      <c r="F1755" s="19" t="n"/>
      <c r="G1755" s="19" t="n"/>
      <c r="H1755" s="19" t="n"/>
    </row>
    <row r="1756">
      <c r="A1756" s="19" t="n"/>
      <c r="B1756" s="19" t="n"/>
      <c r="C1756" s="19" t="n"/>
      <c r="D1756" s="19" t="n"/>
      <c r="E1756" s="19" t="n"/>
      <c r="F1756" s="19" t="n"/>
      <c r="G1756" s="19" t="n"/>
      <c r="H1756" s="19" t="n"/>
    </row>
    <row r="1757">
      <c r="A1757" s="19" t="n"/>
      <c r="B1757" s="19" t="n"/>
      <c r="C1757" s="19" t="n"/>
      <c r="D1757" s="19" t="n"/>
      <c r="E1757" s="19" t="n"/>
      <c r="F1757" s="19" t="n"/>
      <c r="G1757" s="19" t="n"/>
      <c r="H1757" s="19" t="n"/>
    </row>
    <row r="1758">
      <c r="A1758" s="19" t="n"/>
      <c r="B1758" s="19" t="n"/>
      <c r="C1758" s="19" t="n"/>
      <c r="D1758" s="19" t="n"/>
      <c r="E1758" s="19" t="n"/>
      <c r="F1758" s="19" t="n"/>
      <c r="G1758" s="19" t="n"/>
      <c r="H1758" s="19" t="n"/>
    </row>
    <row r="1759">
      <c r="A1759" s="19" t="n"/>
      <c r="B1759" s="19" t="n"/>
      <c r="C1759" s="19" t="n"/>
      <c r="D1759" s="19" t="n"/>
      <c r="E1759" s="19" t="n"/>
      <c r="F1759" s="19" t="n"/>
      <c r="G1759" s="19" t="n"/>
      <c r="H1759" s="19" t="n"/>
    </row>
    <row r="1760">
      <c r="A1760" s="19" t="n"/>
      <c r="B1760" s="19" t="n"/>
      <c r="C1760" s="19" t="n"/>
      <c r="D1760" s="19" t="n"/>
      <c r="E1760" s="19" t="n"/>
      <c r="F1760" s="19" t="n"/>
      <c r="G1760" s="19" t="n"/>
      <c r="H1760" s="19" t="n"/>
    </row>
    <row r="1761">
      <c r="A1761" s="19" t="n"/>
      <c r="B1761" s="19" t="n"/>
      <c r="C1761" s="19" t="n"/>
      <c r="D1761" s="19" t="n"/>
      <c r="E1761" s="19" t="n"/>
      <c r="F1761" s="19" t="n"/>
      <c r="G1761" s="19" t="n"/>
      <c r="H1761" s="19" t="n"/>
    </row>
    <row r="1762">
      <c r="A1762" s="19" t="n"/>
      <c r="B1762" s="19" t="n"/>
      <c r="C1762" s="19" t="n"/>
      <c r="D1762" s="19" t="n"/>
      <c r="E1762" s="19" t="n"/>
      <c r="F1762" s="19" t="n"/>
      <c r="G1762" s="19" t="n"/>
      <c r="H1762" s="19" t="n"/>
    </row>
    <row r="1763">
      <c r="A1763" s="19" t="n"/>
      <c r="B1763" s="19" t="n"/>
      <c r="C1763" s="19" t="n"/>
      <c r="D1763" s="19" t="n"/>
      <c r="E1763" s="19" t="n"/>
      <c r="F1763" s="19" t="n"/>
      <c r="G1763" s="19" t="n"/>
      <c r="H1763" s="19" t="n"/>
    </row>
    <row r="1764">
      <c r="A1764" s="19" t="n"/>
      <c r="B1764" s="19" t="n"/>
      <c r="C1764" s="19" t="n"/>
      <c r="D1764" s="19" t="n"/>
      <c r="E1764" s="19" t="n"/>
      <c r="F1764" s="19" t="n"/>
      <c r="G1764" s="19" t="n"/>
      <c r="H1764" s="19" t="n"/>
    </row>
    <row r="1765">
      <c r="A1765" s="19" t="n"/>
      <c r="B1765" s="19" t="n"/>
      <c r="C1765" s="19" t="n"/>
      <c r="D1765" s="19" t="n"/>
      <c r="E1765" s="19" t="n"/>
      <c r="F1765" s="19" t="n"/>
      <c r="G1765" s="19" t="n"/>
      <c r="H1765" s="19" t="n"/>
    </row>
    <row r="1766">
      <c r="A1766" s="19" t="n"/>
      <c r="B1766" s="19" t="n"/>
      <c r="C1766" s="19" t="n"/>
      <c r="D1766" s="19" t="n"/>
      <c r="E1766" s="19" t="n"/>
      <c r="F1766" s="19" t="n"/>
      <c r="G1766" s="19" t="n"/>
      <c r="H1766" s="19" t="n"/>
    </row>
    <row r="1767">
      <c r="A1767" s="19" t="n"/>
      <c r="B1767" s="19" t="n"/>
      <c r="C1767" s="19" t="n"/>
      <c r="D1767" s="19" t="n"/>
      <c r="E1767" s="19" t="n"/>
      <c r="F1767" s="19" t="n"/>
      <c r="G1767" s="19" t="n"/>
      <c r="H1767" s="19" t="n"/>
    </row>
    <row r="1768">
      <c r="A1768" s="19" t="n"/>
      <c r="B1768" s="19" t="n"/>
      <c r="C1768" s="19" t="n"/>
      <c r="D1768" s="19" t="n"/>
      <c r="E1768" s="19" t="n"/>
      <c r="F1768" s="19" t="n"/>
      <c r="G1768" s="19" t="n"/>
      <c r="H1768" s="19" t="n"/>
    </row>
    <row r="1769">
      <c r="A1769" s="19" t="n"/>
      <c r="B1769" s="19" t="n"/>
      <c r="C1769" s="19" t="n"/>
      <c r="D1769" s="19" t="n"/>
      <c r="E1769" s="19" t="n"/>
      <c r="F1769" s="19" t="n"/>
      <c r="G1769" s="19" t="n"/>
      <c r="H1769" s="19" t="n"/>
    </row>
    <row r="1770">
      <c r="A1770" s="19" t="n"/>
      <c r="B1770" s="19" t="n"/>
      <c r="C1770" s="19" t="n"/>
      <c r="D1770" s="19" t="n"/>
      <c r="E1770" s="19" t="n"/>
      <c r="F1770" s="19" t="n"/>
      <c r="G1770" s="19" t="n"/>
      <c r="H1770" s="19" t="n"/>
    </row>
    <row r="1771">
      <c r="A1771" s="19" t="n"/>
      <c r="B1771" s="19" t="n"/>
      <c r="C1771" s="19" t="n"/>
      <c r="D1771" s="19" t="n"/>
      <c r="E1771" s="19" t="n"/>
      <c r="F1771" s="19" t="n"/>
      <c r="G1771" s="19" t="n"/>
      <c r="H1771" s="19" t="n"/>
    </row>
    <row r="1772">
      <c r="A1772" s="19" t="n"/>
      <c r="B1772" s="19" t="n"/>
      <c r="C1772" s="19" t="n"/>
      <c r="D1772" s="19" t="n"/>
      <c r="E1772" s="19" t="n"/>
      <c r="F1772" s="19" t="n"/>
      <c r="G1772" s="19" t="n"/>
      <c r="H1772" s="19" t="n"/>
    </row>
    <row r="1773">
      <c r="A1773" s="19" t="n"/>
      <c r="B1773" s="19" t="n"/>
      <c r="C1773" s="19" t="n"/>
      <c r="D1773" s="19" t="n"/>
      <c r="E1773" s="19" t="n"/>
      <c r="F1773" s="19" t="n"/>
      <c r="G1773" s="19" t="n"/>
      <c r="H1773" s="19" t="n"/>
    </row>
    <row r="1774">
      <c r="A1774" s="19" t="n"/>
      <c r="B1774" s="19" t="n"/>
      <c r="C1774" s="19" t="n"/>
      <c r="D1774" s="19" t="n"/>
      <c r="E1774" s="19" t="n"/>
      <c r="F1774" s="19" t="n"/>
      <c r="G1774" s="19" t="n"/>
      <c r="H1774" s="19" t="n"/>
    </row>
    <row r="1775">
      <c r="A1775" s="19" t="n"/>
      <c r="B1775" s="19" t="n"/>
      <c r="C1775" s="19" t="n"/>
      <c r="D1775" s="19" t="n"/>
      <c r="E1775" s="19" t="n"/>
      <c r="F1775" s="19" t="n"/>
      <c r="G1775" s="19" t="n"/>
      <c r="H1775" s="19" t="n"/>
    </row>
    <row r="1776">
      <c r="A1776" s="19" t="n"/>
      <c r="B1776" s="19" t="n"/>
      <c r="C1776" s="19" t="n"/>
      <c r="D1776" s="19" t="n"/>
      <c r="E1776" s="19" t="n"/>
      <c r="F1776" s="19" t="n"/>
      <c r="G1776" s="19" t="n"/>
      <c r="H1776" s="19" t="n"/>
    </row>
    <row r="1777">
      <c r="A1777" s="19" t="n"/>
      <c r="B1777" s="19" t="n"/>
      <c r="C1777" s="19" t="n"/>
      <c r="D1777" s="19" t="n"/>
      <c r="E1777" s="19" t="n"/>
      <c r="F1777" s="19" t="n"/>
      <c r="G1777" s="19" t="n"/>
      <c r="H1777" s="19" t="n"/>
    </row>
    <row r="1778">
      <c r="A1778" s="19" t="n"/>
      <c r="B1778" s="19" t="n"/>
      <c r="C1778" s="19" t="n"/>
      <c r="D1778" s="19" t="n"/>
      <c r="E1778" s="19" t="n"/>
      <c r="F1778" s="19" t="n"/>
      <c r="G1778" s="19" t="n"/>
      <c r="H1778" s="19" t="n"/>
    </row>
    <row r="1779">
      <c r="A1779" s="19" t="n"/>
      <c r="B1779" s="19" t="n"/>
      <c r="C1779" s="19" t="n"/>
      <c r="D1779" s="19" t="n"/>
      <c r="E1779" s="19" t="n"/>
      <c r="F1779" s="19" t="n"/>
      <c r="G1779" s="19" t="n"/>
      <c r="H1779" s="19" t="n"/>
    </row>
    <row r="1780">
      <c r="A1780" s="19" t="n"/>
      <c r="B1780" s="19" t="n"/>
      <c r="C1780" s="19" t="n"/>
      <c r="D1780" s="19" t="n"/>
      <c r="E1780" s="19" t="n"/>
      <c r="F1780" s="19" t="n"/>
      <c r="G1780" s="19" t="n"/>
      <c r="H1780" s="19" t="n"/>
    </row>
    <row r="1781">
      <c r="A1781" s="19" t="n"/>
      <c r="B1781" s="19" t="n"/>
      <c r="C1781" s="19" t="n"/>
      <c r="D1781" s="19" t="n"/>
      <c r="E1781" s="19" t="n"/>
      <c r="F1781" s="19" t="n"/>
      <c r="G1781" s="19" t="n"/>
      <c r="H1781" s="19" t="n"/>
    </row>
    <row r="1782">
      <c r="A1782" s="19" t="n"/>
      <c r="B1782" s="19" t="n"/>
      <c r="C1782" s="19" t="n"/>
      <c r="D1782" s="19" t="n"/>
      <c r="E1782" s="19" t="n"/>
      <c r="F1782" s="19" t="n"/>
      <c r="G1782" s="19" t="n"/>
      <c r="H1782" s="19" t="n"/>
    </row>
    <row r="1783">
      <c r="A1783" s="19" t="n"/>
      <c r="B1783" s="19" t="n"/>
      <c r="C1783" s="19" t="n"/>
      <c r="D1783" s="19" t="n"/>
      <c r="E1783" s="19" t="n"/>
      <c r="F1783" s="19" t="n"/>
      <c r="G1783" s="19" t="n"/>
      <c r="H1783" s="19" t="n"/>
    </row>
    <row r="1784">
      <c r="A1784" s="19" t="n"/>
      <c r="B1784" s="19" t="n"/>
      <c r="C1784" s="19" t="n"/>
      <c r="D1784" s="19" t="n"/>
      <c r="E1784" s="19" t="n"/>
      <c r="F1784" s="19" t="n"/>
      <c r="G1784" s="19" t="n"/>
      <c r="H1784" s="19" t="n"/>
    </row>
    <row r="1785">
      <c r="A1785" s="19" t="n"/>
      <c r="B1785" s="19" t="n"/>
      <c r="C1785" s="19" t="n"/>
      <c r="D1785" s="19" t="n"/>
      <c r="E1785" s="19" t="n"/>
      <c r="F1785" s="19" t="n"/>
      <c r="G1785" s="19" t="n"/>
      <c r="H1785" s="19" t="n"/>
    </row>
    <row r="1786">
      <c r="A1786" s="19" t="n"/>
      <c r="B1786" s="19" t="n"/>
      <c r="C1786" s="19" t="n"/>
      <c r="D1786" s="19" t="n"/>
      <c r="E1786" s="19" t="n"/>
      <c r="F1786" s="19" t="n"/>
      <c r="G1786" s="19" t="n"/>
      <c r="H1786" s="19" t="n"/>
    </row>
    <row r="1787">
      <c r="A1787" s="19" t="n"/>
      <c r="B1787" s="19" t="n"/>
      <c r="C1787" s="19" t="n"/>
      <c r="D1787" s="19" t="n"/>
      <c r="E1787" s="19" t="n"/>
      <c r="F1787" s="19" t="n"/>
      <c r="G1787" s="19" t="n"/>
      <c r="H1787" s="19" t="n"/>
    </row>
    <row r="1788">
      <c r="A1788" s="19" t="n"/>
      <c r="B1788" s="19" t="n"/>
      <c r="C1788" s="19" t="n"/>
      <c r="D1788" s="19" t="n"/>
      <c r="E1788" s="19" t="n"/>
      <c r="F1788" s="19" t="n"/>
      <c r="G1788" s="19" t="n"/>
      <c r="H1788" s="19" t="n"/>
    </row>
    <row r="1789">
      <c r="A1789" s="19" t="n"/>
      <c r="B1789" s="19" t="n"/>
      <c r="C1789" s="19" t="n"/>
      <c r="D1789" s="19" t="n"/>
      <c r="E1789" s="19" t="n"/>
      <c r="F1789" s="19" t="n"/>
      <c r="G1789" s="19" t="n"/>
      <c r="H1789" s="19" t="n"/>
    </row>
    <row r="1790">
      <c r="A1790" s="19" t="n"/>
      <c r="B1790" s="19" t="n"/>
      <c r="C1790" s="19" t="n"/>
      <c r="D1790" s="19" t="n"/>
      <c r="E1790" s="19" t="n"/>
      <c r="F1790" s="19" t="n"/>
      <c r="G1790" s="19" t="n"/>
      <c r="H1790" s="19" t="n"/>
    </row>
    <row r="1791">
      <c r="A1791" s="19" t="n"/>
      <c r="B1791" s="19" t="n"/>
      <c r="C1791" s="19" t="n"/>
      <c r="D1791" s="19" t="n"/>
      <c r="E1791" s="19" t="n"/>
      <c r="F1791" s="19" t="n"/>
      <c r="G1791" s="19" t="n"/>
      <c r="H1791" s="19" t="n"/>
    </row>
    <row r="1792">
      <c r="A1792" s="19" t="n"/>
      <c r="B1792" s="19" t="n"/>
      <c r="C1792" s="19" t="n"/>
      <c r="D1792" s="19" t="n"/>
      <c r="E1792" s="19" t="n"/>
      <c r="F1792" s="19" t="n"/>
      <c r="G1792" s="19" t="n"/>
      <c r="H1792" s="19" t="n"/>
    </row>
    <row r="1793">
      <c r="A1793" s="19" t="n"/>
      <c r="B1793" s="19" t="n"/>
      <c r="C1793" s="19" t="n"/>
      <c r="D1793" s="19" t="n"/>
      <c r="E1793" s="19" t="n"/>
      <c r="F1793" s="19" t="n"/>
      <c r="G1793" s="19" t="n"/>
      <c r="H1793" s="19" t="n"/>
    </row>
    <row r="1794">
      <c r="A1794" s="19" t="n"/>
      <c r="B1794" s="19" t="n"/>
      <c r="C1794" s="19" t="n"/>
      <c r="D1794" s="19" t="n"/>
      <c r="E1794" s="19" t="n"/>
      <c r="F1794" s="19" t="n"/>
      <c r="G1794" s="19" t="n"/>
      <c r="H1794" s="19" t="n"/>
    </row>
    <row r="1795">
      <c r="A1795" s="19" t="n"/>
      <c r="B1795" s="19" t="n"/>
      <c r="C1795" s="19" t="n"/>
      <c r="D1795" s="19" t="n"/>
      <c r="E1795" s="19" t="n"/>
      <c r="F1795" s="19" t="n"/>
      <c r="G1795" s="19" t="n"/>
      <c r="H1795" s="19" t="n"/>
    </row>
    <row r="1796">
      <c r="A1796" s="19" t="n"/>
      <c r="B1796" s="19" t="n"/>
      <c r="C1796" s="19" t="n"/>
      <c r="D1796" s="19" t="n"/>
      <c r="E1796" s="19" t="n"/>
      <c r="F1796" s="19" t="n"/>
      <c r="G1796" s="19" t="n"/>
      <c r="H1796" s="19" t="n"/>
    </row>
    <row r="1797">
      <c r="A1797" s="19" t="n"/>
      <c r="B1797" s="19" t="n"/>
      <c r="C1797" s="19" t="n"/>
      <c r="D1797" s="19" t="n"/>
      <c r="E1797" s="19" t="n"/>
      <c r="F1797" s="19" t="n"/>
      <c r="G1797" s="19" t="n"/>
      <c r="H1797" s="19" t="n"/>
    </row>
    <row r="1798">
      <c r="A1798" s="19" t="n"/>
      <c r="B1798" s="19" t="n"/>
      <c r="C1798" s="19" t="n"/>
      <c r="D1798" s="19" t="n"/>
      <c r="E1798" s="19" t="n"/>
      <c r="F1798" s="19" t="n"/>
      <c r="G1798" s="19" t="n"/>
      <c r="H1798" s="19" t="n"/>
    </row>
    <row r="1799">
      <c r="A1799" s="19" t="n"/>
      <c r="B1799" s="19" t="n"/>
      <c r="C1799" s="19" t="n"/>
      <c r="D1799" s="19" t="n"/>
      <c r="E1799" s="19" t="n"/>
      <c r="F1799" s="19" t="n"/>
      <c r="G1799" s="19" t="n"/>
      <c r="H1799" s="19" t="n"/>
    </row>
    <row r="1800">
      <c r="A1800" s="19" t="n"/>
      <c r="B1800" s="19" t="n"/>
      <c r="C1800" s="19" t="n"/>
      <c r="D1800" s="19" t="n"/>
      <c r="E1800" s="19" t="n"/>
      <c r="F1800" s="19" t="n"/>
      <c r="G1800" s="19" t="n"/>
      <c r="H1800" s="19" t="n"/>
    </row>
    <row r="1801">
      <c r="A1801" s="19" t="n"/>
      <c r="B1801" s="19" t="n"/>
      <c r="C1801" s="19" t="n"/>
      <c r="D1801" s="19" t="n"/>
      <c r="E1801" s="19" t="n"/>
      <c r="F1801" s="19" t="n"/>
      <c r="G1801" s="19" t="n"/>
      <c r="H1801" s="19" t="n"/>
    </row>
    <row r="1802">
      <c r="A1802" s="19" t="n"/>
      <c r="B1802" s="19" t="n"/>
      <c r="C1802" s="19" t="n"/>
      <c r="D1802" s="19" t="n"/>
      <c r="E1802" s="19" t="n"/>
      <c r="F1802" s="19" t="n"/>
      <c r="G1802" s="19" t="n"/>
      <c r="H1802" s="19" t="n"/>
    </row>
    <row r="1803">
      <c r="A1803" s="19" t="n"/>
      <c r="B1803" s="19" t="n"/>
      <c r="C1803" s="19" t="n"/>
      <c r="D1803" s="19" t="n"/>
      <c r="E1803" s="19" t="n"/>
      <c r="F1803" s="19" t="n"/>
      <c r="G1803" s="19" t="n"/>
      <c r="H1803" s="19" t="n"/>
    </row>
    <row r="1804">
      <c r="A1804" s="19" t="n"/>
      <c r="B1804" s="19" t="n"/>
      <c r="C1804" s="19" t="n"/>
      <c r="D1804" s="19" t="n"/>
      <c r="E1804" s="19" t="n"/>
      <c r="F1804" s="19" t="n"/>
      <c r="G1804" s="19" t="n"/>
      <c r="H1804" s="19" t="n"/>
    </row>
    <row r="1805">
      <c r="A1805" s="19" t="n"/>
      <c r="B1805" s="19" t="n"/>
      <c r="C1805" s="19" t="n"/>
      <c r="D1805" s="19" t="n"/>
      <c r="E1805" s="19" t="n"/>
      <c r="F1805" s="19" t="n"/>
      <c r="G1805" s="19" t="n"/>
      <c r="H1805" s="19" t="n"/>
    </row>
    <row r="1806">
      <c r="A1806" s="19" t="n"/>
      <c r="B1806" s="19" t="n"/>
      <c r="C1806" s="19" t="n"/>
      <c r="D1806" s="19" t="n"/>
      <c r="E1806" s="19" t="n"/>
      <c r="F1806" s="19" t="n"/>
      <c r="G1806" s="19" t="n"/>
      <c r="H1806" s="19" t="n"/>
    </row>
    <row r="1807">
      <c r="A1807" s="19" t="n"/>
      <c r="B1807" s="19" t="n"/>
      <c r="C1807" s="19" t="n"/>
      <c r="D1807" s="19" t="n"/>
      <c r="E1807" s="19" t="n"/>
      <c r="F1807" s="19" t="n"/>
      <c r="G1807" s="19" t="n"/>
      <c r="H1807" s="19" t="n"/>
    </row>
    <row r="1808">
      <c r="A1808" s="19" t="n"/>
      <c r="B1808" s="19" t="n"/>
      <c r="C1808" s="19" t="n"/>
      <c r="D1808" s="19" t="n"/>
      <c r="E1808" s="19" t="n"/>
      <c r="F1808" s="19" t="n"/>
      <c r="G1808" s="19" t="n"/>
      <c r="H1808" s="19" t="n"/>
    </row>
    <row r="1809">
      <c r="A1809" s="19" t="n"/>
      <c r="B1809" s="19" t="n"/>
      <c r="C1809" s="19" t="n"/>
      <c r="D1809" s="19" t="n"/>
      <c r="E1809" s="19" t="n"/>
      <c r="F1809" s="19" t="n"/>
      <c r="G1809" s="19" t="n"/>
      <c r="H1809" s="19" t="n"/>
    </row>
    <row r="1810">
      <c r="A1810" s="19" t="n"/>
      <c r="B1810" s="19" t="n"/>
      <c r="C1810" s="19" t="n"/>
      <c r="D1810" s="19" t="n"/>
      <c r="E1810" s="19" t="n"/>
      <c r="F1810" s="19" t="n"/>
      <c r="G1810" s="19" t="n"/>
      <c r="H1810" s="19" t="n"/>
    </row>
    <row r="1811">
      <c r="A1811" s="19" t="n"/>
      <c r="B1811" s="19" t="n"/>
      <c r="C1811" s="19" t="n"/>
      <c r="D1811" s="19" t="n"/>
      <c r="E1811" s="19" t="n"/>
      <c r="F1811" s="19" t="n"/>
      <c r="G1811" s="19" t="n"/>
      <c r="H1811" s="19" t="n"/>
    </row>
    <row r="1812">
      <c r="A1812" s="19" t="n"/>
      <c r="B1812" s="19" t="n"/>
      <c r="C1812" s="19" t="n"/>
      <c r="D1812" s="19" t="n"/>
      <c r="E1812" s="19" t="n"/>
      <c r="F1812" s="19" t="n"/>
      <c r="G1812" s="19" t="n"/>
      <c r="H1812" s="19" t="n"/>
    </row>
    <row r="1813">
      <c r="A1813" s="19" t="n"/>
      <c r="B1813" s="19" t="n"/>
      <c r="C1813" s="19" t="n"/>
      <c r="D1813" s="19" t="n"/>
      <c r="E1813" s="19" t="n"/>
      <c r="F1813" s="19" t="n"/>
      <c r="G1813" s="19" t="n"/>
      <c r="H1813" s="19" t="n"/>
    </row>
    <row r="1814">
      <c r="A1814" s="19" t="n"/>
      <c r="B1814" s="19" t="n"/>
      <c r="C1814" s="19" t="n"/>
      <c r="D1814" s="19" t="n"/>
      <c r="E1814" s="19" t="n"/>
      <c r="F1814" s="19" t="n"/>
      <c r="G1814" s="19" t="n"/>
      <c r="H1814" s="19" t="n"/>
    </row>
    <row r="1815">
      <c r="A1815" s="19" t="n"/>
      <c r="B1815" s="19" t="n"/>
      <c r="C1815" s="19" t="n"/>
      <c r="D1815" s="19" t="n"/>
      <c r="E1815" s="19" t="n"/>
      <c r="F1815" s="19" t="n"/>
      <c r="G1815" s="19" t="n"/>
      <c r="H1815" s="19" t="n"/>
    </row>
    <row r="1816">
      <c r="A1816" s="19" t="n"/>
      <c r="B1816" s="19" t="n"/>
      <c r="C1816" s="19" t="n"/>
      <c r="D1816" s="19" t="n"/>
      <c r="E1816" s="19" t="n"/>
      <c r="F1816" s="19" t="n"/>
      <c r="G1816" s="19" t="n"/>
      <c r="H1816" s="19" t="n"/>
    </row>
    <row r="1817">
      <c r="A1817" s="19" t="n"/>
      <c r="B1817" s="19" t="n"/>
      <c r="C1817" s="19" t="n"/>
      <c r="D1817" s="19" t="n"/>
      <c r="E1817" s="19" t="n"/>
      <c r="F1817" s="19" t="n"/>
      <c r="G1817" s="19" t="n"/>
      <c r="H1817" s="19" t="n"/>
    </row>
    <row r="1818">
      <c r="A1818" s="19" t="n"/>
      <c r="B1818" s="19" t="n"/>
      <c r="C1818" s="19" t="n"/>
      <c r="D1818" s="19" t="n"/>
      <c r="E1818" s="19" t="n"/>
      <c r="F1818" s="19" t="n"/>
      <c r="G1818" s="19" t="n"/>
      <c r="H1818" s="19" t="n"/>
    </row>
    <row r="1819">
      <c r="A1819" s="19" t="n"/>
      <c r="B1819" s="19" t="n"/>
      <c r="C1819" s="19" t="n"/>
      <c r="D1819" s="19" t="n"/>
      <c r="E1819" s="19" t="n"/>
      <c r="F1819" s="19" t="n"/>
      <c r="G1819" s="19" t="n"/>
      <c r="H1819" s="19" t="n"/>
    </row>
    <row r="1820">
      <c r="A1820" s="19" t="n"/>
      <c r="B1820" s="19" t="n"/>
      <c r="C1820" s="19" t="n"/>
      <c r="D1820" s="19" t="n"/>
      <c r="E1820" s="19" t="n"/>
      <c r="F1820" s="19" t="n"/>
      <c r="G1820" s="19" t="n"/>
      <c r="H1820" s="19" t="n"/>
    </row>
    <row r="1821">
      <c r="A1821" s="19" t="n"/>
      <c r="B1821" s="19" t="n"/>
      <c r="C1821" s="19" t="n"/>
      <c r="D1821" s="19" t="n"/>
      <c r="E1821" s="19" t="n"/>
      <c r="F1821" s="19" t="n"/>
      <c r="G1821" s="19" t="n"/>
      <c r="H1821" s="19" t="n"/>
    </row>
    <row r="1822">
      <c r="A1822" s="19" t="n"/>
      <c r="B1822" s="19" t="n"/>
      <c r="C1822" s="19" t="n"/>
      <c r="D1822" s="19" t="n"/>
      <c r="E1822" s="19" t="n"/>
      <c r="F1822" s="19" t="n"/>
      <c r="G1822" s="19" t="n"/>
      <c r="H1822" s="19" t="n"/>
    </row>
    <row r="1823">
      <c r="A1823" s="19" t="n"/>
      <c r="B1823" s="19" t="n"/>
      <c r="C1823" s="19" t="n"/>
      <c r="D1823" s="19" t="n"/>
      <c r="E1823" s="19" t="n"/>
      <c r="F1823" s="19" t="n"/>
      <c r="G1823" s="19" t="n"/>
      <c r="H1823" s="19" t="n"/>
    </row>
    <row r="1824">
      <c r="A1824" s="19" t="n"/>
      <c r="B1824" s="19" t="n"/>
      <c r="C1824" s="19" t="n"/>
      <c r="D1824" s="19" t="n"/>
      <c r="E1824" s="19" t="n"/>
      <c r="F1824" s="19" t="n"/>
      <c r="G1824" s="19" t="n"/>
      <c r="H1824" s="19" t="n"/>
    </row>
    <row r="1825">
      <c r="A1825" s="19" t="n"/>
      <c r="B1825" s="19" t="n"/>
      <c r="C1825" s="19" t="n"/>
      <c r="D1825" s="19" t="n"/>
      <c r="E1825" s="19" t="n"/>
      <c r="F1825" s="19" t="n"/>
      <c r="G1825" s="19" t="n"/>
      <c r="H1825" s="19" t="n"/>
    </row>
    <row r="1826">
      <c r="A1826" s="19" t="n"/>
      <c r="B1826" s="19" t="n"/>
      <c r="C1826" s="19" t="n"/>
      <c r="D1826" s="19" t="n"/>
      <c r="E1826" s="19" t="n"/>
      <c r="F1826" s="19" t="n"/>
      <c r="G1826" s="19" t="n"/>
      <c r="H1826" s="19" t="n"/>
    </row>
    <row r="1827">
      <c r="A1827" s="19" t="n"/>
      <c r="B1827" s="19" t="n"/>
      <c r="C1827" s="19" t="n"/>
      <c r="D1827" s="19" t="n"/>
      <c r="E1827" s="19" t="n"/>
      <c r="F1827" s="19" t="n"/>
      <c r="G1827" s="19" t="n"/>
      <c r="H1827" s="19" t="n"/>
    </row>
    <row r="1828">
      <c r="A1828" s="19" t="n"/>
      <c r="B1828" s="19" t="n"/>
      <c r="C1828" s="19" t="n"/>
      <c r="D1828" s="19" t="n"/>
      <c r="E1828" s="19" t="n"/>
      <c r="F1828" s="19" t="n"/>
      <c r="G1828" s="19" t="n"/>
      <c r="H1828" s="19" t="n"/>
    </row>
    <row r="1829">
      <c r="A1829" s="19" t="n"/>
      <c r="B1829" s="19" t="n"/>
      <c r="C1829" s="19" t="n"/>
      <c r="D1829" s="19" t="n"/>
      <c r="E1829" s="19" t="n"/>
      <c r="F1829" s="19" t="n"/>
      <c r="G1829" s="19" t="n"/>
      <c r="H1829" s="19" t="n"/>
    </row>
    <row r="1830">
      <c r="A1830" s="19" t="n"/>
      <c r="B1830" s="19" t="n"/>
      <c r="C1830" s="19" t="n"/>
      <c r="D1830" s="19" t="n"/>
      <c r="E1830" s="19" t="n"/>
      <c r="F1830" s="19" t="n"/>
      <c r="G1830" s="19" t="n"/>
      <c r="H1830" s="19" t="n"/>
    </row>
    <row r="1831">
      <c r="A1831" s="19" t="n"/>
      <c r="B1831" s="19" t="n"/>
      <c r="C1831" s="19" t="n"/>
      <c r="D1831" s="19" t="n"/>
      <c r="E1831" s="19" t="n"/>
      <c r="F1831" s="19" t="n"/>
      <c r="G1831" s="19" t="n"/>
      <c r="H1831" s="19" t="n"/>
    </row>
    <row r="1832">
      <c r="A1832" s="19" t="n"/>
      <c r="B1832" s="19" t="n"/>
      <c r="C1832" s="19" t="n"/>
      <c r="D1832" s="19" t="n"/>
      <c r="E1832" s="19" t="n"/>
      <c r="F1832" s="19" t="n"/>
      <c r="G1832" s="19" t="n"/>
      <c r="H1832" s="19" t="n"/>
    </row>
    <row r="1833">
      <c r="A1833" s="19" t="n"/>
      <c r="B1833" s="19" t="n"/>
      <c r="C1833" s="19" t="n"/>
      <c r="D1833" s="19" t="n"/>
      <c r="E1833" s="19" t="n"/>
      <c r="F1833" s="19" t="n"/>
      <c r="G1833" s="19" t="n"/>
      <c r="H1833" s="19" t="n"/>
    </row>
    <row r="1834">
      <c r="A1834" s="19" t="n"/>
      <c r="B1834" s="19" t="n"/>
      <c r="C1834" s="19" t="n"/>
      <c r="D1834" s="19" t="n"/>
      <c r="E1834" s="19" t="n"/>
      <c r="F1834" s="19" t="n"/>
      <c r="G1834" s="19" t="n"/>
      <c r="H1834" s="19" t="n"/>
    </row>
    <row r="1835">
      <c r="A1835" s="19" t="n"/>
      <c r="B1835" s="19" t="n"/>
      <c r="C1835" s="19" t="n"/>
      <c r="D1835" s="19" t="n"/>
      <c r="E1835" s="19" t="n"/>
      <c r="F1835" s="19" t="n"/>
      <c r="G1835" s="19" t="n"/>
      <c r="H1835" s="19" t="n"/>
    </row>
    <row r="1836">
      <c r="A1836" s="19" t="n"/>
      <c r="B1836" s="19" t="n"/>
      <c r="C1836" s="19" t="n"/>
      <c r="D1836" s="19" t="n"/>
      <c r="E1836" s="19" t="n"/>
      <c r="F1836" s="19" t="n"/>
      <c r="G1836" s="19" t="n"/>
      <c r="H1836" s="19" t="n"/>
    </row>
    <row r="1837">
      <c r="A1837" s="19" t="n"/>
      <c r="B1837" s="19" t="n"/>
      <c r="C1837" s="19" t="n"/>
      <c r="D1837" s="19" t="n"/>
      <c r="E1837" s="19" t="n"/>
      <c r="F1837" s="19" t="n"/>
      <c r="G1837" s="19" t="n"/>
      <c r="H1837" s="19" t="n"/>
    </row>
    <row r="1838">
      <c r="A1838" s="19" t="n"/>
      <c r="B1838" s="19" t="n"/>
      <c r="C1838" s="19" t="n"/>
      <c r="D1838" s="19" t="n"/>
      <c r="E1838" s="19" t="n"/>
      <c r="F1838" s="19" t="n"/>
      <c r="G1838" s="19" t="n"/>
      <c r="H1838" s="19" t="n"/>
    </row>
    <row r="1839">
      <c r="A1839" s="19" t="n"/>
      <c r="B1839" s="19" t="n"/>
      <c r="C1839" s="19" t="n"/>
      <c r="D1839" s="19" t="n"/>
      <c r="E1839" s="19" t="n"/>
      <c r="F1839" s="19" t="n"/>
      <c r="G1839" s="19" t="n"/>
      <c r="H1839" s="19" t="n"/>
    </row>
    <row r="1840">
      <c r="A1840" s="19" t="n"/>
      <c r="B1840" s="19" t="n"/>
      <c r="C1840" s="19" t="n"/>
      <c r="D1840" s="19" t="n"/>
      <c r="E1840" s="19" t="n"/>
      <c r="F1840" s="19" t="n"/>
      <c r="G1840" s="19" t="n"/>
      <c r="H1840" s="19" t="n"/>
    </row>
    <row r="1841">
      <c r="A1841" s="19" t="n"/>
      <c r="B1841" s="19" t="n"/>
      <c r="C1841" s="19" t="n"/>
      <c r="D1841" s="19" t="n"/>
      <c r="E1841" s="19" t="n"/>
      <c r="F1841" s="19" t="n"/>
      <c r="G1841" s="19" t="n"/>
      <c r="H1841" s="19" t="n"/>
    </row>
    <row r="1842">
      <c r="A1842" s="19" t="n"/>
      <c r="B1842" s="19" t="n"/>
      <c r="C1842" s="19" t="n"/>
      <c r="D1842" s="19" t="n"/>
      <c r="E1842" s="19" t="n"/>
      <c r="F1842" s="19" t="n"/>
      <c r="G1842" s="19" t="n"/>
      <c r="H1842" s="19" t="n"/>
    </row>
    <row r="1843">
      <c r="A1843" s="19" t="n"/>
      <c r="B1843" s="19" t="n"/>
      <c r="C1843" s="19" t="n"/>
      <c r="D1843" s="19" t="n"/>
      <c r="E1843" s="19" t="n"/>
      <c r="F1843" s="19" t="n"/>
      <c r="G1843" s="19" t="n"/>
      <c r="H1843" s="19" t="n"/>
    </row>
    <row r="1844">
      <c r="A1844" s="19" t="n"/>
      <c r="B1844" s="19" t="n"/>
      <c r="C1844" s="19" t="n"/>
      <c r="D1844" s="19" t="n"/>
      <c r="E1844" s="19" t="n"/>
      <c r="F1844" s="19" t="n"/>
      <c r="G1844" s="19" t="n"/>
      <c r="H1844" s="19" t="n"/>
    </row>
    <row r="1845">
      <c r="A1845" s="19" t="n"/>
      <c r="B1845" s="19" t="n"/>
      <c r="C1845" s="19" t="n"/>
      <c r="D1845" s="19" t="n"/>
      <c r="E1845" s="19" t="n"/>
      <c r="F1845" s="19" t="n"/>
      <c r="G1845" s="19" t="n"/>
      <c r="H1845" s="19" t="n"/>
    </row>
    <row r="1846">
      <c r="A1846" s="19" t="n"/>
      <c r="B1846" s="19" t="n"/>
      <c r="C1846" s="19" t="n"/>
      <c r="D1846" s="19" t="n"/>
      <c r="E1846" s="19" t="n"/>
      <c r="F1846" s="19" t="n"/>
      <c r="G1846" s="19" t="n"/>
      <c r="H1846" s="19" t="n"/>
    </row>
    <row r="1847">
      <c r="A1847" s="19" t="n"/>
      <c r="B1847" s="19" t="n"/>
      <c r="C1847" s="19" t="n"/>
      <c r="D1847" s="19" t="n"/>
      <c r="E1847" s="19" t="n"/>
      <c r="F1847" s="19" t="n"/>
      <c r="G1847" s="19" t="n"/>
      <c r="H1847" s="19" t="n"/>
    </row>
    <row r="1848">
      <c r="A1848" s="19" t="n"/>
      <c r="B1848" s="19" t="n"/>
      <c r="C1848" s="19" t="n"/>
      <c r="D1848" s="19" t="n"/>
      <c r="E1848" s="19" t="n"/>
      <c r="F1848" s="19" t="n"/>
      <c r="G1848" s="19" t="n"/>
      <c r="H1848" s="19" t="n"/>
    </row>
    <row r="1849">
      <c r="A1849" s="19" t="n"/>
      <c r="B1849" s="19" t="n"/>
      <c r="C1849" s="19" t="n"/>
      <c r="D1849" s="19" t="n"/>
      <c r="E1849" s="19" t="n"/>
      <c r="F1849" s="19" t="n"/>
      <c r="G1849" s="19" t="n"/>
      <c r="H1849" s="19" t="n"/>
    </row>
    <row r="1850">
      <c r="A1850" s="19" t="n"/>
      <c r="B1850" s="19" t="n"/>
      <c r="C1850" s="19" t="n"/>
      <c r="D1850" s="19" t="n"/>
      <c r="E1850" s="19" t="n"/>
      <c r="F1850" s="19" t="n"/>
      <c r="G1850" s="19" t="n"/>
      <c r="H1850" s="19" t="n"/>
    </row>
    <row r="1851">
      <c r="A1851" s="19" t="n"/>
      <c r="B1851" s="19" t="n"/>
      <c r="C1851" s="19" t="n"/>
      <c r="D1851" s="19" t="n"/>
      <c r="E1851" s="19" t="n"/>
      <c r="F1851" s="19" t="n"/>
      <c r="G1851" s="19" t="n"/>
      <c r="H1851" s="19" t="n"/>
    </row>
    <row r="1852">
      <c r="A1852" s="19" t="n"/>
      <c r="B1852" s="19" t="n"/>
      <c r="C1852" s="19" t="n"/>
      <c r="D1852" s="19" t="n"/>
      <c r="E1852" s="19" t="n"/>
      <c r="F1852" s="19" t="n"/>
      <c r="G1852" s="19" t="n"/>
      <c r="H1852" s="19" t="n"/>
    </row>
    <row r="1853">
      <c r="A1853" s="19" t="n"/>
      <c r="B1853" s="19" t="n"/>
      <c r="C1853" s="19" t="n"/>
      <c r="D1853" s="19" t="n"/>
      <c r="E1853" s="19" t="n"/>
      <c r="F1853" s="19" t="n"/>
      <c r="G1853" s="19" t="n"/>
      <c r="H1853" s="19" t="n"/>
    </row>
    <row r="1854">
      <c r="A1854" s="19" t="n"/>
      <c r="B1854" s="19" t="n"/>
      <c r="C1854" s="19" t="n"/>
      <c r="D1854" s="19" t="n"/>
      <c r="E1854" s="19" t="n"/>
      <c r="F1854" s="19" t="n"/>
      <c r="G1854" s="19" t="n"/>
      <c r="H1854" s="19" t="n"/>
    </row>
    <row r="1855">
      <c r="A1855" s="19" t="n"/>
      <c r="B1855" s="19" t="n"/>
      <c r="C1855" s="19" t="n"/>
      <c r="D1855" s="19" t="n"/>
      <c r="E1855" s="19" t="n"/>
      <c r="F1855" s="19" t="n"/>
      <c r="G1855" s="19" t="n"/>
      <c r="H1855" s="19" t="n"/>
    </row>
    <row r="1856">
      <c r="A1856" s="19" t="n"/>
      <c r="B1856" s="19" t="n"/>
      <c r="C1856" s="19" t="n"/>
      <c r="D1856" s="19" t="n"/>
      <c r="E1856" s="19" t="n"/>
      <c r="F1856" s="19" t="n"/>
      <c r="G1856" s="19" t="n"/>
      <c r="H1856" s="19" t="n"/>
    </row>
    <row r="1857">
      <c r="A1857" s="19" t="n"/>
      <c r="B1857" s="19" t="n"/>
      <c r="C1857" s="19" t="n"/>
      <c r="D1857" s="19" t="n"/>
      <c r="E1857" s="19" t="n"/>
      <c r="F1857" s="19" t="n"/>
      <c r="G1857" s="19" t="n"/>
      <c r="H1857" s="19" t="n"/>
    </row>
    <row r="1858">
      <c r="A1858" s="19" t="n"/>
      <c r="B1858" s="19" t="n"/>
      <c r="C1858" s="19" t="n"/>
      <c r="D1858" s="19" t="n"/>
      <c r="E1858" s="19" t="n"/>
      <c r="F1858" s="19" t="n"/>
      <c r="G1858" s="19" t="n"/>
      <c r="H1858" s="19" t="n"/>
    </row>
    <row r="1859">
      <c r="A1859" s="19" t="n"/>
      <c r="B1859" s="19" t="n"/>
      <c r="C1859" s="19" t="n"/>
      <c r="D1859" s="19" t="n"/>
      <c r="E1859" s="19" t="n"/>
      <c r="F1859" s="19" t="n"/>
      <c r="G1859" s="19" t="n"/>
      <c r="H1859" s="19" t="n"/>
    </row>
    <row r="1860">
      <c r="A1860" s="19" t="n"/>
      <c r="B1860" s="19" t="n"/>
      <c r="C1860" s="19" t="n"/>
      <c r="D1860" s="19" t="n"/>
      <c r="E1860" s="19" t="n"/>
      <c r="F1860" s="19" t="n"/>
      <c r="G1860" s="19" t="n"/>
      <c r="H1860" s="19" t="n"/>
    </row>
    <row r="1861">
      <c r="A1861" s="19" t="n"/>
      <c r="B1861" s="19" t="n"/>
      <c r="C1861" s="19" t="n"/>
      <c r="D1861" s="19" t="n"/>
      <c r="E1861" s="19" t="n"/>
      <c r="F1861" s="19" t="n"/>
      <c r="G1861" s="19" t="n"/>
      <c r="H1861" s="19" t="n"/>
    </row>
    <row r="1862">
      <c r="A1862" s="19" t="n"/>
      <c r="B1862" s="19" t="n"/>
      <c r="C1862" s="19" t="n"/>
      <c r="D1862" s="19" t="n"/>
      <c r="E1862" s="19" t="n"/>
      <c r="F1862" s="19" t="n"/>
      <c r="G1862" s="19" t="n"/>
      <c r="H1862" s="19" t="n"/>
    </row>
    <row r="1863">
      <c r="A1863" s="19" t="n"/>
      <c r="B1863" s="19" t="n"/>
      <c r="C1863" s="19" t="n"/>
      <c r="D1863" s="19" t="n"/>
      <c r="E1863" s="19" t="n"/>
      <c r="F1863" s="19" t="n"/>
      <c r="G1863" s="19" t="n"/>
      <c r="H1863" s="19" t="n"/>
    </row>
    <row r="1864">
      <c r="A1864" s="19" t="n"/>
      <c r="B1864" s="19" t="n"/>
      <c r="C1864" s="19" t="n"/>
      <c r="D1864" s="19" t="n"/>
      <c r="E1864" s="19" t="n"/>
      <c r="F1864" s="19" t="n"/>
      <c r="G1864" s="19" t="n"/>
      <c r="H1864" s="19" t="n"/>
    </row>
    <row r="1865">
      <c r="A1865" s="19" t="n"/>
      <c r="B1865" s="19" t="n"/>
      <c r="C1865" s="19" t="n"/>
      <c r="D1865" s="19" t="n"/>
      <c r="E1865" s="19" t="n"/>
      <c r="F1865" s="19" t="n"/>
      <c r="G1865" s="19" t="n"/>
      <c r="H1865" s="19" t="n"/>
    </row>
    <row r="1866">
      <c r="A1866" s="19" t="n"/>
      <c r="B1866" s="19" t="n"/>
      <c r="C1866" s="19" t="n"/>
      <c r="D1866" s="19" t="n"/>
      <c r="E1866" s="19" t="n"/>
      <c r="F1866" s="19" t="n"/>
      <c r="G1866" s="19" t="n"/>
      <c r="H1866" s="19" t="n"/>
    </row>
    <row r="1867">
      <c r="A1867" s="19" t="n"/>
      <c r="B1867" s="19" t="n"/>
      <c r="C1867" s="19" t="n"/>
      <c r="D1867" s="19" t="n"/>
      <c r="E1867" s="19" t="n"/>
      <c r="F1867" s="19" t="n"/>
      <c r="G1867" s="19" t="n"/>
      <c r="H1867" s="19" t="n"/>
    </row>
    <row r="1868">
      <c r="A1868" s="19" t="n"/>
      <c r="B1868" s="19" t="n"/>
      <c r="C1868" s="19" t="n"/>
      <c r="D1868" s="19" t="n"/>
      <c r="E1868" s="19" t="n"/>
      <c r="F1868" s="19" t="n"/>
      <c r="G1868" s="19" t="n"/>
      <c r="H1868" s="19" t="n"/>
    </row>
    <row r="1869">
      <c r="A1869" s="19" t="n"/>
      <c r="B1869" s="19" t="n"/>
      <c r="C1869" s="19" t="n"/>
      <c r="D1869" s="19" t="n"/>
      <c r="E1869" s="19" t="n"/>
      <c r="F1869" s="19" t="n"/>
      <c r="G1869" s="19" t="n"/>
      <c r="H1869" s="19" t="n"/>
    </row>
    <row r="1870">
      <c r="A1870" s="19" t="n"/>
      <c r="B1870" s="19" t="n"/>
      <c r="C1870" s="19" t="n"/>
      <c r="D1870" s="19" t="n"/>
      <c r="E1870" s="19" t="n"/>
      <c r="F1870" s="19" t="n"/>
      <c r="G1870" s="19" t="n"/>
      <c r="H1870" s="19" t="n"/>
    </row>
    <row r="1871">
      <c r="A1871" s="19" t="n"/>
      <c r="B1871" s="19" t="n"/>
      <c r="C1871" s="19" t="n"/>
      <c r="D1871" s="19" t="n"/>
      <c r="E1871" s="19" t="n"/>
      <c r="F1871" s="19" t="n"/>
      <c r="G1871" s="19" t="n"/>
      <c r="H1871" s="19" t="n"/>
    </row>
    <row r="1872">
      <c r="A1872" s="19" t="n"/>
      <c r="B1872" s="19" t="n"/>
      <c r="C1872" s="19" t="n"/>
      <c r="D1872" s="19" t="n"/>
      <c r="E1872" s="19" t="n"/>
      <c r="F1872" s="19" t="n"/>
      <c r="G1872" s="19" t="n"/>
      <c r="H1872" s="19" t="n"/>
    </row>
    <row r="1873">
      <c r="A1873" s="19" t="n"/>
      <c r="B1873" s="19" t="n"/>
      <c r="C1873" s="19" t="n"/>
      <c r="D1873" s="19" t="n"/>
      <c r="E1873" s="19" t="n"/>
      <c r="F1873" s="19" t="n"/>
      <c r="G1873" s="19" t="n"/>
      <c r="H1873" s="19" t="n"/>
    </row>
    <row r="1874">
      <c r="A1874" s="19" t="n"/>
      <c r="B1874" s="19" t="n"/>
      <c r="C1874" s="19" t="n"/>
      <c r="D1874" s="19" t="n"/>
      <c r="E1874" s="19" t="n"/>
      <c r="F1874" s="19" t="n"/>
      <c r="G1874" s="19" t="n"/>
      <c r="H1874" s="19" t="n"/>
    </row>
    <row r="1875">
      <c r="A1875" s="19" t="n"/>
      <c r="B1875" s="19" t="n"/>
      <c r="C1875" s="19" t="n"/>
      <c r="D1875" s="19" t="n"/>
      <c r="E1875" s="19" t="n"/>
      <c r="F1875" s="19" t="n"/>
      <c r="G1875" s="19" t="n"/>
      <c r="H1875" s="19" t="n"/>
    </row>
    <row r="1876">
      <c r="A1876" s="19" t="n"/>
      <c r="B1876" s="19" t="n"/>
      <c r="C1876" s="19" t="n"/>
      <c r="D1876" s="19" t="n"/>
      <c r="E1876" s="19" t="n"/>
      <c r="F1876" s="19" t="n"/>
      <c r="G1876" s="19" t="n"/>
      <c r="H1876" s="19" t="n"/>
    </row>
    <row r="1877">
      <c r="A1877" s="19" t="n"/>
      <c r="B1877" s="19" t="n"/>
      <c r="C1877" s="19" t="n"/>
      <c r="D1877" s="19" t="n"/>
      <c r="E1877" s="19" t="n"/>
      <c r="F1877" s="19" t="n"/>
      <c r="G1877" s="19" t="n"/>
      <c r="H1877" s="19" t="n"/>
    </row>
    <row r="1878">
      <c r="A1878" s="19" t="n"/>
      <c r="B1878" s="19" t="n"/>
      <c r="C1878" s="19" t="n"/>
      <c r="D1878" s="19" t="n"/>
      <c r="E1878" s="19" t="n"/>
      <c r="F1878" s="19" t="n"/>
      <c r="G1878" s="19" t="n"/>
      <c r="H1878" s="19" t="n"/>
    </row>
    <row r="1879">
      <c r="A1879" s="19" t="n"/>
      <c r="B1879" s="19" t="n"/>
      <c r="C1879" s="19" t="n"/>
      <c r="D1879" s="19" t="n"/>
      <c r="E1879" s="19" t="n"/>
      <c r="F1879" s="19" t="n"/>
      <c r="G1879" s="19" t="n"/>
      <c r="H1879" s="19" t="n"/>
    </row>
    <row r="1880">
      <c r="A1880" s="19" t="n"/>
      <c r="B1880" s="19" t="n"/>
      <c r="C1880" s="19" t="n"/>
      <c r="D1880" s="19" t="n"/>
      <c r="E1880" s="19" t="n"/>
      <c r="F1880" s="19" t="n"/>
      <c r="G1880" s="19" t="n"/>
      <c r="H1880" s="19" t="n"/>
    </row>
    <row r="1881">
      <c r="A1881" s="19" t="n"/>
      <c r="B1881" s="19" t="n"/>
      <c r="C1881" s="19" t="n"/>
      <c r="D1881" s="19" t="n"/>
      <c r="E1881" s="19" t="n"/>
      <c r="F1881" s="19" t="n"/>
      <c r="G1881" s="19" t="n"/>
      <c r="H1881" s="19" t="n"/>
    </row>
    <row r="1882">
      <c r="A1882" s="19" t="n"/>
      <c r="B1882" s="19" t="n"/>
      <c r="C1882" s="19" t="n"/>
      <c r="D1882" s="19" t="n"/>
      <c r="E1882" s="19" t="n"/>
      <c r="F1882" s="19" t="n"/>
      <c r="G1882" s="19" t="n"/>
      <c r="H1882" s="19" t="n"/>
    </row>
    <row r="1883">
      <c r="A1883" s="19" t="n"/>
      <c r="B1883" s="19" t="n"/>
      <c r="C1883" s="19" t="n"/>
      <c r="D1883" s="19" t="n"/>
      <c r="E1883" s="19" t="n"/>
      <c r="F1883" s="19" t="n"/>
      <c r="G1883" s="19" t="n"/>
      <c r="H1883" s="19" t="n"/>
    </row>
    <row r="1884">
      <c r="A1884" s="19" t="n"/>
      <c r="B1884" s="19" t="n"/>
      <c r="C1884" s="19" t="n"/>
      <c r="D1884" s="19" t="n"/>
      <c r="E1884" s="19" t="n"/>
      <c r="F1884" s="19" t="n"/>
      <c r="G1884" s="19" t="n"/>
      <c r="H1884" s="19" t="n"/>
    </row>
    <row r="1885">
      <c r="A1885" s="19" t="n"/>
      <c r="B1885" s="19" t="n"/>
      <c r="C1885" s="19" t="n"/>
      <c r="D1885" s="19" t="n"/>
      <c r="E1885" s="19" t="n"/>
      <c r="F1885" s="19" t="n"/>
      <c r="G1885" s="19" t="n"/>
      <c r="H1885" s="19" t="n"/>
    </row>
    <row r="1886">
      <c r="A1886" s="19" t="n"/>
      <c r="B1886" s="19" t="n"/>
      <c r="C1886" s="19" t="n"/>
      <c r="D1886" s="19" t="n"/>
      <c r="E1886" s="19" t="n"/>
      <c r="F1886" s="19" t="n"/>
      <c r="G1886" s="19" t="n"/>
      <c r="H1886" s="19" t="n"/>
    </row>
    <row r="1887">
      <c r="A1887" s="19" t="n"/>
      <c r="B1887" s="19" t="n"/>
      <c r="C1887" s="19" t="n"/>
      <c r="D1887" s="19" t="n"/>
      <c r="E1887" s="19" t="n"/>
      <c r="F1887" s="19" t="n"/>
      <c r="G1887" s="19" t="n"/>
      <c r="H1887" s="19" t="n"/>
    </row>
    <row r="1888">
      <c r="A1888" s="19" t="n"/>
      <c r="B1888" s="19" t="n"/>
      <c r="C1888" s="19" t="n"/>
      <c r="D1888" s="19" t="n"/>
      <c r="E1888" s="19" t="n"/>
      <c r="F1888" s="19" t="n"/>
      <c r="G1888" s="19" t="n"/>
      <c r="H1888" s="19" t="n"/>
    </row>
    <row r="1889">
      <c r="A1889" s="19" t="n"/>
      <c r="B1889" s="19" t="n"/>
      <c r="C1889" s="19" t="n"/>
      <c r="D1889" s="19" t="n"/>
      <c r="E1889" s="19" t="n"/>
      <c r="F1889" s="19" t="n"/>
      <c r="G1889" s="19" t="n"/>
      <c r="H1889" s="19" t="n"/>
    </row>
    <row r="1890">
      <c r="A1890" s="19" t="n"/>
      <c r="B1890" s="19" t="n"/>
      <c r="C1890" s="19" t="n"/>
      <c r="D1890" s="19" t="n"/>
      <c r="E1890" s="19" t="n"/>
      <c r="F1890" s="19" t="n"/>
      <c r="G1890" s="19" t="n"/>
      <c r="H1890" s="19" t="n"/>
    </row>
    <row r="1891">
      <c r="A1891" s="19" t="n"/>
      <c r="B1891" s="19" t="n"/>
      <c r="C1891" s="19" t="n"/>
      <c r="D1891" s="19" t="n"/>
      <c r="E1891" s="19" t="n"/>
      <c r="F1891" s="19" t="n"/>
      <c r="G1891" s="19" t="n"/>
      <c r="H1891" s="19" t="n"/>
    </row>
    <row r="1892">
      <c r="A1892" s="19" t="n"/>
      <c r="B1892" s="19" t="n"/>
      <c r="C1892" s="19" t="n"/>
      <c r="D1892" s="19" t="n"/>
      <c r="E1892" s="19" t="n"/>
      <c r="F1892" s="19" t="n"/>
      <c r="G1892" s="19" t="n"/>
      <c r="H1892" s="19" t="n"/>
    </row>
    <row r="1893">
      <c r="A1893" s="19" t="n"/>
      <c r="B1893" s="19" t="n"/>
      <c r="C1893" s="19" t="n"/>
      <c r="D1893" s="19" t="n"/>
      <c r="E1893" s="19" t="n"/>
      <c r="F1893" s="19" t="n"/>
      <c r="G1893" s="19" t="n"/>
      <c r="H1893" s="19" t="n"/>
    </row>
    <row r="1894">
      <c r="A1894" s="19" t="n"/>
      <c r="B1894" s="19" t="n"/>
      <c r="C1894" s="19" t="n"/>
      <c r="D1894" s="19" t="n"/>
      <c r="E1894" s="19" t="n"/>
      <c r="F1894" s="19" t="n"/>
      <c r="G1894" s="19" t="n"/>
      <c r="H1894" s="19" t="n"/>
    </row>
    <row r="1895">
      <c r="A1895" s="19" t="n"/>
      <c r="B1895" s="19" t="n"/>
      <c r="C1895" s="19" t="n"/>
      <c r="D1895" s="19" t="n"/>
      <c r="E1895" s="19" t="n"/>
      <c r="F1895" s="19" t="n"/>
      <c r="G1895" s="19" t="n"/>
      <c r="H1895" s="19" t="n"/>
    </row>
    <row r="1896">
      <c r="A1896" s="19" t="n"/>
      <c r="B1896" s="19" t="n"/>
      <c r="C1896" s="19" t="n"/>
      <c r="D1896" s="19" t="n"/>
      <c r="E1896" s="19" t="n"/>
      <c r="F1896" s="19" t="n"/>
      <c r="G1896" s="19" t="n"/>
      <c r="H1896" s="19" t="n"/>
    </row>
    <row r="1897">
      <c r="A1897" s="19" t="n"/>
      <c r="B1897" s="19" t="n"/>
      <c r="C1897" s="19" t="n"/>
      <c r="D1897" s="19" t="n"/>
      <c r="E1897" s="19" t="n"/>
      <c r="F1897" s="19" t="n"/>
      <c r="G1897" s="19" t="n"/>
      <c r="H1897" s="19" t="n"/>
    </row>
    <row r="1898">
      <c r="A1898" s="19" t="n"/>
      <c r="B1898" s="19" t="n"/>
      <c r="C1898" s="19" t="n"/>
      <c r="D1898" s="19" t="n"/>
      <c r="E1898" s="19" t="n"/>
      <c r="F1898" s="19" t="n"/>
      <c r="G1898" s="19" t="n"/>
      <c r="H1898" s="19" t="n"/>
    </row>
    <row r="1899">
      <c r="A1899" s="19" t="n"/>
      <c r="B1899" s="19" t="n"/>
      <c r="C1899" s="19" t="n"/>
      <c r="D1899" s="19" t="n"/>
      <c r="E1899" s="19" t="n"/>
      <c r="F1899" s="19" t="n"/>
      <c r="G1899" s="19" t="n"/>
      <c r="H1899" s="19" t="n"/>
    </row>
    <row r="1900">
      <c r="A1900" s="19" t="n"/>
      <c r="B1900" s="19" t="n"/>
      <c r="C1900" s="19" t="n"/>
      <c r="D1900" s="19" t="n"/>
      <c r="E1900" s="19" t="n"/>
      <c r="F1900" s="19" t="n"/>
      <c r="G1900" s="19" t="n"/>
      <c r="H1900" s="19" t="n"/>
    </row>
    <row r="1901">
      <c r="A1901" s="19" t="n"/>
      <c r="B1901" s="19" t="n"/>
      <c r="C1901" s="19" t="n"/>
      <c r="D1901" s="19" t="n"/>
      <c r="E1901" s="19" t="n"/>
      <c r="F1901" s="19" t="n"/>
      <c r="G1901" s="19" t="n"/>
      <c r="H1901" s="19" t="n"/>
    </row>
    <row r="1902">
      <c r="A1902" s="19" t="n"/>
      <c r="B1902" s="19" t="n"/>
      <c r="C1902" s="19" t="n"/>
      <c r="D1902" s="19" t="n"/>
      <c r="E1902" s="19" t="n"/>
      <c r="F1902" s="19" t="n"/>
      <c r="G1902" s="19" t="n"/>
      <c r="H1902" s="19" t="n"/>
    </row>
    <row r="1903">
      <c r="A1903" s="19" t="n"/>
      <c r="B1903" s="19" t="n"/>
      <c r="C1903" s="19" t="n"/>
      <c r="D1903" s="19" t="n"/>
      <c r="E1903" s="19" t="n"/>
      <c r="F1903" s="19" t="n"/>
      <c r="G1903" s="19" t="n"/>
      <c r="H1903" s="19" t="n"/>
    </row>
    <row r="1904">
      <c r="A1904" s="19" t="n"/>
      <c r="B1904" s="19" t="n"/>
      <c r="C1904" s="19" t="n"/>
      <c r="D1904" s="19" t="n"/>
      <c r="E1904" s="19" t="n"/>
      <c r="F1904" s="19" t="n"/>
      <c r="G1904" s="19" t="n"/>
      <c r="H1904" s="19" t="n"/>
    </row>
    <row r="1905">
      <c r="A1905" s="19" t="n"/>
      <c r="B1905" s="19" t="n"/>
      <c r="C1905" s="19" t="n"/>
      <c r="D1905" s="19" t="n"/>
      <c r="E1905" s="19" t="n"/>
      <c r="F1905" s="19" t="n"/>
      <c r="G1905" s="19" t="n"/>
      <c r="H1905" s="19" t="n"/>
    </row>
    <row r="1906">
      <c r="A1906" s="19" t="n"/>
      <c r="B1906" s="19" t="n"/>
      <c r="C1906" s="19" t="n"/>
      <c r="D1906" s="19" t="n"/>
      <c r="E1906" s="19" t="n"/>
      <c r="F1906" s="19" t="n"/>
      <c r="G1906" s="19" t="n"/>
      <c r="H1906" s="19" t="n"/>
    </row>
    <row r="1907">
      <c r="A1907" s="19" t="n"/>
      <c r="B1907" s="19" t="n"/>
      <c r="C1907" s="19" t="n"/>
      <c r="D1907" s="19" t="n"/>
      <c r="E1907" s="19" t="n"/>
      <c r="F1907" s="19" t="n"/>
      <c r="G1907" s="19" t="n"/>
      <c r="H1907" s="19" t="n"/>
    </row>
    <row r="1908">
      <c r="A1908" s="19" t="n"/>
      <c r="B1908" s="19" t="n"/>
      <c r="C1908" s="19" t="n"/>
      <c r="D1908" s="19" t="n"/>
      <c r="E1908" s="19" t="n"/>
      <c r="F1908" s="19" t="n"/>
      <c r="G1908" s="19" t="n"/>
      <c r="H1908" s="19" t="n"/>
    </row>
    <row r="1909">
      <c r="A1909" s="19" t="n"/>
      <c r="B1909" s="19" t="n"/>
      <c r="C1909" s="19" t="n"/>
      <c r="D1909" s="19" t="n"/>
      <c r="E1909" s="19" t="n"/>
      <c r="F1909" s="19" t="n"/>
      <c r="G1909" s="19" t="n"/>
      <c r="H1909" s="19" t="n"/>
    </row>
    <row r="1910">
      <c r="A1910" s="19" t="n"/>
      <c r="B1910" s="19" t="n"/>
      <c r="C1910" s="19" t="n"/>
      <c r="D1910" s="19" t="n"/>
      <c r="E1910" s="19" t="n"/>
      <c r="F1910" s="19" t="n"/>
      <c r="G1910" s="19" t="n"/>
      <c r="H1910" s="19" t="n"/>
    </row>
    <row r="1911">
      <c r="A1911" s="19" t="n"/>
      <c r="B1911" s="19" t="n"/>
      <c r="C1911" s="19" t="n"/>
      <c r="D1911" s="19" t="n"/>
      <c r="E1911" s="19" t="n"/>
      <c r="F1911" s="19" t="n"/>
      <c r="G1911" s="19" t="n"/>
      <c r="H1911" s="19" t="n"/>
    </row>
    <row r="1912">
      <c r="A1912" s="19" t="n"/>
      <c r="B1912" s="19" t="n"/>
      <c r="C1912" s="19" t="n"/>
      <c r="D1912" s="19" t="n"/>
      <c r="E1912" s="19" t="n"/>
      <c r="F1912" s="19" t="n"/>
      <c r="G1912" s="19" t="n"/>
      <c r="H1912" s="19" t="n"/>
    </row>
    <row r="1913">
      <c r="A1913" s="19" t="n"/>
      <c r="B1913" s="19" t="n"/>
      <c r="C1913" s="19" t="n"/>
      <c r="D1913" s="19" t="n"/>
      <c r="E1913" s="19" t="n"/>
      <c r="F1913" s="19" t="n"/>
      <c r="G1913" s="19" t="n"/>
      <c r="H1913" s="19" t="n"/>
    </row>
    <row r="1914">
      <c r="A1914" s="19" t="n"/>
      <c r="B1914" s="19" t="n"/>
      <c r="C1914" s="19" t="n"/>
      <c r="D1914" s="19" t="n"/>
      <c r="E1914" s="19" t="n"/>
      <c r="F1914" s="19" t="n"/>
      <c r="G1914" s="19" t="n"/>
      <c r="H1914" s="19" t="n"/>
    </row>
    <row r="1915">
      <c r="A1915" s="19" t="n"/>
      <c r="B1915" s="19" t="n"/>
      <c r="C1915" s="19" t="n"/>
      <c r="D1915" s="19" t="n"/>
      <c r="E1915" s="19" t="n"/>
      <c r="F1915" s="19" t="n"/>
      <c r="G1915" s="19" t="n"/>
      <c r="H1915" s="19" t="n"/>
    </row>
    <row r="1916">
      <c r="A1916" s="19" t="n"/>
      <c r="B1916" s="19" t="n"/>
      <c r="C1916" s="19" t="n"/>
      <c r="D1916" s="19" t="n"/>
      <c r="E1916" s="19" t="n"/>
      <c r="F1916" s="19" t="n"/>
      <c r="G1916" s="19" t="n"/>
      <c r="H1916" s="19" t="n"/>
    </row>
    <row r="1917">
      <c r="A1917" s="19" t="n"/>
      <c r="B1917" s="19" t="n"/>
      <c r="C1917" s="19" t="n"/>
      <c r="D1917" s="19" t="n"/>
      <c r="E1917" s="19" t="n"/>
      <c r="F1917" s="19" t="n"/>
      <c r="G1917" s="19" t="n"/>
      <c r="H1917" s="19" t="n"/>
    </row>
    <row r="1918">
      <c r="A1918" s="19" t="n"/>
      <c r="B1918" s="19" t="n"/>
      <c r="C1918" s="19" t="n"/>
      <c r="D1918" s="19" t="n"/>
      <c r="E1918" s="19" t="n"/>
      <c r="F1918" s="19" t="n"/>
      <c r="G1918" s="19" t="n"/>
      <c r="H1918" s="19" t="n"/>
    </row>
    <row r="1919">
      <c r="A1919" s="19" t="n"/>
      <c r="B1919" s="19" t="n"/>
      <c r="C1919" s="19" t="n"/>
      <c r="D1919" s="19" t="n"/>
      <c r="E1919" s="19" t="n"/>
      <c r="F1919" s="19" t="n"/>
      <c r="G1919" s="19" t="n"/>
      <c r="H1919" s="19" t="n"/>
    </row>
    <row r="1920">
      <c r="A1920" s="19" t="n"/>
      <c r="B1920" s="19" t="n"/>
      <c r="C1920" s="19" t="n"/>
      <c r="D1920" s="19" t="n"/>
      <c r="E1920" s="19" t="n"/>
      <c r="F1920" s="19" t="n"/>
      <c r="G1920" s="19" t="n"/>
      <c r="H1920" s="19" t="n"/>
    </row>
    <row r="1921">
      <c r="A1921" s="19" t="n"/>
      <c r="B1921" s="19" t="n"/>
      <c r="C1921" s="19" t="n"/>
      <c r="D1921" s="19" t="n"/>
      <c r="E1921" s="19" t="n"/>
      <c r="F1921" s="19" t="n"/>
      <c r="G1921" s="19" t="n"/>
      <c r="H1921" s="19" t="n"/>
    </row>
    <row r="1922">
      <c r="A1922" s="19" t="n"/>
      <c r="B1922" s="19" t="n"/>
      <c r="C1922" s="19" t="n"/>
      <c r="D1922" s="19" t="n"/>
      <c r="E1922" s="19" t="n"/>
      <c r="F1922" s="19" t="n"/>
      <c r="G1922" s="19" t="n"/>
      <c r="H1922" s="19" t="n"/>
    </row>
    <row r="1923">
      <c r="A1923" s="19" t="n"/>
      <c r="B1923" s="19" t="n"/>
      <c r="C1923" s="19" t="n"/>
      <c r="D1923" s="19" t="n"/>
      <c r="E1923" s="19" t="n"/>
      <c r="F1923" s="19" t="n"/>
      <c r="G1923" s="19" t="n"/>
      <c r="H1923" s="19" t="n"/>
    </row>
    <row r="1924">
      <c r="A1924" s="19" t="n"/>
      <c r="B1924" s="19" t="n"/>
      <c r="C1924" s="19" t="n"/>
      <c r="D1924" s="19" t="n"/>
      <c r="E1924" s="19" t="n"/>
      <c r="F1924" s="19" t="n"/>
      <c r="G1924" s="19" t="n"/>
      <c r="H1924" s="19" t="n"/>
    </row>
    <row r="1925">
      <c r="A1925" s="19" t="n"/>
      <c r="B1925" s="19" t="n"/>
      <c r="C1925" s="19" t="n"/>
      <c r="D1925" s="19" t="n"/>
      <c r="E1925" s="19" t="n"/>
      <c r="F1925" s="19" t="n"/>
      <c r="G1925" s="19" t="n"/>
      <c r="H1925" s="19" t="n"/>
    </row>
    <row r="1926">
      <c r="A1926" s="19" t="n"/>
      <c r="B1926" s="19" t="n"/>
      <c r="C1926" s="19" t="n"/>
      <c r="D1926" s="19" t="n"/>
      <c r="E1926" s="19" t="n"/>
      <c r="F1926" s="19" t="n"/>
      <c r="G1926" s="19" t="n"/>
      <c r="H1926" s="19" t="n"/>
    </row>
    <row r="1927">
      <c r="A1927" s="19" t="n"/>
      <c r="B1927" s="19" t="n"/>
      <c r="C1927" s="19" t="n"/>
      <c r="D1927" s="19" t="n"/>
      <c r="E1927" s="19" t="n"/>
      <c r="F1927" s="19" t="n"/>
      <c r="G1927" s="19" t="n"/>
      <c r="H1927" s="19" t="n"/>
    </row>
    <row r="1928">
      <c r="A1928" s="19" t="n"/>
      <c r="B1928" s="19" t="n"/>
      <c r="C1928" s="19" t="n"/>
      <c r="D1928" s="19" t="n"/>
      <c r="E1928" s="19" t="n"/>
      <c r="F1928" s="19" t="n"/>
      <c r="G1928" s="19" t="n"/>
      <c r="H1928" s="19" t="n"/>
    </row>
    <row r="1929">
      <c r="A1929" s="19" t="n"/>
      <c r="B1929" s="19" t="n"/>
      <c r="C1929" s="19" t="n"/>
      <c r="D1929" s="19" t="n"/>
      <c r="E1929" s="19" t="n"/>
      <c r="F1929" s="19" t="n"/>
      <c r="G1929" s="19" t="n"/>
      <c r="H1929" s="19" t="n"/>
    </row>
    <row r="1930">
      <c r="A1930" s="19" t="n"/>
      <c r="B1930" s="19" t="n"/>
      <c r="C1930" s="19" t="n"/>
      <c r="D1930" s="19" t="n"/>
      <c r="E1930" s="19" t="n"/>
      <c r="F1930" s="19" t="n"/>
      <c r="G1930" s="19" t="n"/>
      <c r="H1930" s="19" t="n"/>
    </row>
    <row r="1931">
      <c r="A1931" s="19" t="n"/>
      <c r="B1931" s="19" t="n"/>
      <c r="C1931" s="19" t="n"/>
      <c r="D1931" s="19" t="n"/>
      <c r="E1931" s="19" t="n"/>
      <c r="F1931" s="19" t="n"/>
      <c r="G1931" s="19" t="n"/>
      <c r="H1931" s="19" t="n"/>
    </row>
    <row r="1932">
      <c r="A1932" s="19" t="n"/>
      <c r="B1932" s="19" t="n"/>
      <c r="C1932" s="19" t="n"/>
      <c r="D1932" s="19" t="n"/>
      <c r="E1932" s="19" t="n"/>
      <c r="F1932" s="19" t="n"/>
      <c r="G1932" s="19" t="n"/>
      <c r="H1932" s="19" t="n"/>
    </row>
    <row r="1933">
      <c r="A1933" s="19" t="n"/>
      <c r="B1933" s="19" t="n"/>
      <c r="C1933" s="19" t="n"/>
      <c r="D1933" s="19" t="n"/>
      <c r="E1933" s="19" t="n"/>
      <c r="F1933" s="19" t="n"/>
      <c r="G1933" s="19" t="n"/>
      <c r="H1933" s="19" t="n"/>
    </row>
    <row r="1934">
      <c r="A1934" s="19" t="n"/>
      <c r="B1934" s="19" t="n"/>
      <c r="C1934" s="19" t="n"/>
      <c r="D1934" s="19" t="n"/>
      <c r="E1934" s="19" t="n"/>
      <c r="F1934" s="19" t="n"/>
      <c r="G1934" s="19" t="n"/>
      <c r="H1934" s="19" t="n"/>
    </row>
    <row r="1935">
      <c r="A1935" s="19" t="n"/>
      <c r="B1935" s="19" t="n"/>
      <c r="C1935" s="19" t="n"/>
      <c r="D1935" s="19" t="n"/>
      <c r="E1935" s="19" t="n"/>
      <c r="F1935" s="19" t="n"/>
      <c r="G1935" s="19" t="n"/>
      <c r="H1935" s="19" t="n"/>
    </row>
    <row r="1936">
      <c r="A1936" s="19" t="n"/>
      <c r="B1936" s="19" t="n"/>
      <c r="C1936" s="19" t="n"/>
      <c r="D1936" s="19" t="n"/>
      <c r="E1936" s="19" t="n"/>
      <c r="F1936" s="19" t="n"/>
      <c r="G1936" s="19" t="n"/>
      <c r="H1936" s="19" t="n"/>
    </row>
    <row r="1937">
      <c r="A1937" s="19" t="n"/>
      <c r="B1937" s="19" t="n"/>
      <c r="C1937" s="19" t="n"/>
      <c r="D1937" s="19" t="n"/>
      <c r="E1937" s="19" t="n"/>
      <c r="F1937" s="19" t="n"/>
      <c r="G1937" s="19" t="n"/>
      <c r="H1937" s="19" t="n"/>
    </row>
    <row r="1938">
      <c r="A1938" s="19" t="n"/>
      <c r="B1938" s="19" t="n"/>
      <c r="C1938" s="19" t="n"/>
      <c r="D1938" s="19" t="n"/>
      <c r="E1938" s="19" t="n"/>
      <c r="F1938" s="19" t="n"/>
      <c r="G1938" s="19" t="n"/>
      <c r="H1938" s="19" t="n"/>
    </row>
    <row r="1939">
      <c r="A1939" s="19" t="n"/>
      <c r="B1939" s="19" t="n"/>
      <c r="C1939" s="19" t="n"/>
      <c r="D1939" s="19" t="n"/>
      <c r="E1939" s="19" t="n"/>
      <c r="F1939" s="19" t="n"/>
      <c r="G1939" s="19" t="n"/>
      <c r="H1939" s="19" t="n"/>
    </row>
    <row r="1940">
      <c r="A1940" s="19" t="n"/>
      <c r="B1940" s="19" t="n"/>
      <c r="C1940" s="19" t="n"/>
      <c r="D1940" s="19" t="n"/>
      <c r="E1940" s="19" t="n"/>
      <c r="F1940" s="19" t="n"/>
      <c r="G1940" s="19" t="n"/>
      <c r="H1940" s="19" t="n"/>
    </row>
    <row r="1941">
      <c r="A1941" s="19" t="n"/>
      <c r="B1941" s="19" t="n"/>
      <c r="C1941" s="19" t="n"/>
      <c r="D1941" s="19" t="n"/>
      <c r="E1941" s="19" t="n"/>
      <c r="F1941" s="19" t="n"/>
      <c r="G1941" s="19" t="n"/>
      <c r="H1941" s="19" t="n"/>
    </row>
    <row r="1942">
      <c r="A1942" s="19" t="n"/>
      <c r="B1942" s="19" t="n"/>
      <c r="C1942" s="19" t="n"/>
      <c r="D1942" s="19" t="n"/>
      <c r="E1942" s="19" t="n"/>
      <c r="F1942" s="19" t="n"/>
      <c r="G1942" s="19" t="n"/>
      <c r="H1942" s="19" t="n"/>
    </row>
    <row r="1943">
      <c r="A1943" s="19" t="n"/>
      <c r="B1943" s="19" t="n"/>
      <c r="C1943" s="19" t="n"/>
      <c r="D1943" s="19" t="n"/>
      <c r="E1943" s="19" t="n"/>
      <c r="F1943" s="19" t="n"/>
      <c r="G1943" s="19" t="n"/>
      <c r="H1943" s="19" t="n"/>
    </row>
    <row r="1944">
      <c r="A1944" s="19" t="n"/>
      <c r="B1944" s="19" t="n"/>
      <c r="C1944" s="19" t="n"/>
      <c r="D1944" s="19" t="n"/>
      <c r="E1944" s="19" t="n"/>
      <c r="F1944" s="19" t="n"/>
      <c r="G1944" s="19" t="n"/>
      <c r="H1944" s="19" t="n"/>
    </row>
    <row r="1945">
      <c r="A1945" s="19" t="n"/>
      <c r="B1945" s="19" t="n"/>
      <c r="C1945" s="19" t="n"/>
      <c r="D1945" s="19" t="n"/>
      <c r="E1945" s="19" t="n"/>
      <c r="F1945" s="19" t="n"/>
      <c r="G1945" s="19" t="n"/>
      <c r="H1945" s="19" t="n"/>
    </row>
    <row r="1946">
      <c r="A1946" s="19" t="n"/>
      <c r="B1946" s="19" t="n"/>
      <c r="C1946" s="19" t="n"/>
      <c r="D1946" s="19" t="n"/>
      <c r="E1946" s="19" t="n"/>
      <c r="F1946" s="19" t="n"/>
      <c r="G1946" s="19" t="n"/>
      <c r="H1946" s="19" t="n"/>
    </row>
    <row r="1947">
      <c r="A1947" s="19" t="n"/>
      <c r="B1947" s="19" t="n"/>
      <c r="C1947" s="19" t="n"/>
      <c r="D1947" s="19" t="n"/>
      <c r="E1947" s="19" t="n"/>
      <c r="F1947" s="19" t="n"/>
      <c r="G1947" s="19" t="n"/>
      <c r="H1947" s="19" t="n"/>
    </row>
    <row r="1948">
      <c r="A1948" s="19" t="n"/>
      <c r="B1948" s="19" t="n"/>
      <c r="C1948" s="19" t="n"/>
      <c r="D1948" s="19" t="n"/>
      <c r="E1948" s="19" t="n"/>
      <c r="F1948" s="19" t="n"/>
      <c r="G1948" s="19" t="n"/>
      <c r="H1948" s="19" t="n"/>
    </row>
    <row r="1949">
      <c r="A1949" s="19" t="n"/>
      <c r="B1949" s="19" t="n"/>
      <c r="C1949" s="19" t="n"/>
      <c r="D1949" s="19" t="n"/>
      <c r="E1949" s="19" t="n"/>
      <c r="F1949" s="19" t="n"/>
      <c r="G1949" s="19" t="n"/>
      <c r="H1949" s="19" t="n"/>
    </row>
    <row r="1950">
      <c r="A1950" s="19" t="n"/>
      <c r="B1950" s="19" t="n"/>
      <c r="C1950" s="19" t="n"/>
      <c r="D1950" s="19" t="n"/>
      <c r="E1950" s="19" t="n"/>
      <c r="F1950" s="19" t="n"/>
      <c r="G1950" s="19" t="n"/>
      <c r="H1950" s="19" t="n"/>
    </row>
    <row r="1951">
      <c r="A1951" s="19" t="n"/>
      <c r="B1951" s="19" t="n"/>
      <c r="C1951" s="19" t="n"/>
      <c r="D1951" s="19" t="n"/>
      <c r="E1951" s="19" t="n"/>
      <c r="F1951" s="19" t="n"/>
      <c r="G1951" s="19" t="n"/>
      <c r="H1951" s="19" t="n"/>
    </row>
    <row r="1952">
      <c r="A1952" s="19" t="n"/>
      <c r="B1952" s="19" t="n"/>
      <c r="C1952" s="19" t="n"/>
      <c r="D1952" s="19" t="n"/>
      <c r="E1952" s="19" t="n"/>
      <c r="F1952" s="19" t="n"/>
      <c r="G1952" s="19" t="n"/>
      <c r="H1952" s="19" t="n"/>
    </row>
    <row r="1953">
      <c r="A1953" s="19" t="n"/>
      <c r="B1953" s="19" t="n"/>
      <c r="C1953" s="19" t="n"/>
      <c r="D1953" s="19" t="n"/>
      <c r="E1953" s="19" t="n"/>
      <c r="F1953" s="19" t="n"/>
      <c r="G1953" s="19" t="n"/>
      <c r="H1953" s="19" t="n"/>
    </row>
    <row r="1954">
      <c r="A1954" s="19" t="n"/>
      <c r="B1954" s="19" t="n"/>
      <c r="C1954" s="19" t="n"/>
      <c r="D1954" s="19" t="n"/>
      <c r="E1954" s="19" t="n"/>
      <c r="F1954" s="19" t="n"/>
      <c r="G1954" s="19" t="n"/>
      <c r="H1954" s="19" t="n"/>
    </row>
    <row r="1955">
      <c r="A1955" s="19" t="n"/>
      <c r="B1955" s="19" t="n"/>
      <c r="C1955" s="19" t="n"/>
      <c r="D1955" s="19" t="n"/>
      <c r="E1955" s="19" t="n"/>
      <c r="F1955" s="19" t="n"/>
      <c r="G1955" s="19" t="n"/>
      <c r="H1955" s="19" t="n"/>
    </row>
    <row r="1956">
      <c r="A1956" s="19" t="n"/>
      <c r="B1956" s="19" t="n"/>
      <c r="C1956" s="19" t="n"/>
      <c r="D1956" s="19" t="n"/>
      <c r="E1956" s="19" t="n"/>
      <c r="F1956" s="19" t="n"/>
      <c r="G1956" s="19" t="n"/>
      <c r="H1956" s="19" t="n"/>
    </row>
    <row r="1957">
      <c r="A1957" s="19" t="n"/>
      <c r="B1957" s="19" t="n"/>
      <c r="C1957" s="19" t="n"/>
      <c r="D1957" s="19" t="n"/>
      <c r="E1957" s="19" t="n"/>
      <c r="F1957" s="19" t="n"/>
      <c r="G1957" s="19" t="n"/>
      <c r="H1957" s="19" t="n"/>
    </row>
    <row r="1958">
      <c r="A1958" s="19" t="n"/>
      <c r="B1958" s="19" t="n"/>
      <c r="C1958" s="19" t="n"/>
      <c r="D1958" s="19" t="n"/>
      <c r="E1958" s="19" t="n"/>
      <c r="F1958" s="19" t="n"/>
      <c r="G1958" s="19" t="n"/>
      <c r="H1958" s="19" t="n"/>
    </row>
    <row r="1959">
      <c r="A1959" s="19" t="n"/>
      <c r="B1959" s="19" t="n"/>
      <c r="C1959" s="19" t="n"/>
      <c r="D1959" s="19" t="n"/>
      <c r="E1959" s="19" t="n"/>
      <c r="F1959" s="19" t="n"/>
      <c r="G1959" s="19" t="n"/>
      <c r="H1959" s="19" t="n"/>
    </row>
    <row r="1960">
      <c r="A1960" s="19" t="n"/>
      <c r="B1960" s="19" t="n"/>
      <c r="C1960" s="19" t="n"/>
      <c r="D1960" s="19" t="n"/>
      <c r="E1960" s="19" t="n"/>
      <c r="F1960" s="19" t="n"/>
      <c r="G1960" s="19" t="n"/>
      <c r="H1960" s="19" t="n"/>
    </row>
    <row r="1961">
      <c r="A1961" s="19" t="n"/>
      <c r="B1961" s="19" t="n"/>
      <c r="C1961" s="19" t="n"/>
      <c r="D1961" s="19" t="n"/>
      <c r="E1961" s="19" t="n"/>
      <c r="F1961" s="19" t="n"/>
      <c r="G1961" s="19" t="n"/>
      <c r="H1961" s="19" t="n"/>
    </row>
    <row r="1962">
      <c r="A1962" s="19" t="n"/>
      <c r="B1962" s="19" t="n"/>
      <c r="C1962" s="19" t="n"/>
      <c r="D1962" s="19" t="n"/>
      <c r="E1962" s="19" t="n"/>
      <c r="F1962" s="19" t="n"/>
      <c r="G1962" s="19" t="n"/>
      <c r="H1962" s="19" t="n"/>
    </row>
    <row r="1963">
      <c r="A1963" s="19" t="n"/>
      <c r="B1963" s="19" t="n"/>
      <c r="C1963" s="19" t="n"/>
      <c r="D1963" s="19" t="n"/>
      <c r="E1963" s="19" t="n"/>
      <c r="F1963" s="19" t="n"/>
      <c r="G1963" s="19" t="n"/>
      <c r="H1963" s="19" t="n"/>
    </row>
    <row r="1964">
      <c r="A1964" s="19" t="n"/>
      <c r="B1964" s="19" t="n"/>
      <c r="C1964" s="19" t="n"/>
      <c r="D1964" s="19" t="n"/>
      <c r="E1964" s="19" t="n"/>
      <c r="F1964" s="19" t="n"/>
      <c r="G1964" s="19" t="n"/>
      <c r="H1964" s="19" t="n"/>
    </row>
    <row r="1965">
      <c r="A1965" s="19" t="n"/>
      <c r="B1965" s="19" t="n"/>
      <c r="C1965" s="19" t="n"/>
      <c r="D1965" s="19" t="n"/>
      <c r="E1965" s="19" t="n"/>
      <c r="F1965" s="19" t="n"/>
      <c r="G1965" s="19" t="n"/>
      <c r="H1965" s="19" t="n"/>
    </row>
    <row r="1966">
      <c r="A1966" s="19" t="n"/>
      <c r="B1966" s="19" t="n"/>
      <c r="C1966" s="19" t="n"/>
      <c r="D1966" s="19" t="n"/>
      <c r="E1966" s="19" t="n"/>
      <c r="F1966" s="19" t="n"/>
      <c r="G1966" s="19" t="n"/>
      <c r="H1966" s="19" t="n"/>
    </row>
    <row r="1967">
      <c r="A1967" s="19" t="n"/>
      <c r="B1967" s="19" t="n"/>
      <c r="C1967" s="19" t="n"/>
      <c r="D1967" s="19" t="n"/>
      <c r="E1967" s="19" t="n"/>
      <c r="F1967" s="19" t="n"/>
      <c r="G1967" s="19" t="n"/>
      <c r="H1967" s="19" t="n"/>
    </row>
    <row r="1968">
      <c r="A1968" s="19" t="n"/>
      <c r="B1968" s="19" t="n"/>
      <c r="C1968" s="19" t="n"/>
      <c r="D1968" s="19" t="n"/>
      <c r="E1968" s="19" t="n"/>
      <c r="F1968" s="19" t="n"/>
      <c r="G1968" s="19" t="n"/>
      <c r="H1968" s="19" t="n"/>
    </row>
    <row r="1969">
      <c r="A1969" s="19" t="n"/>
      <c r="B1969" s="19" t="n"/>
      <c r="C1969" s="19" t="n"/>
      <c r="D1969" s="19" t="n"/>
      <c r="E1969" s="19" t="n"/>
      <c r="F1969" s="19" t="n"/>
      <c r="G1969" s="19" t="n"/>
      <c r="H1969" s="19" t="n"/>
    </row>
    <row r="1970">
      <c r="A1970" s="19" t="n"/>
      <c r="B1970" s="19" t="n"/>
      <c r="C1970" s="19" t="n"/>
      <c r="D1970" s="19" t="n"/>
      <c r="E1970" s="19" t="n"/>
      <c r="F1970" s="19" t="n"/>
      <c r="G1970" s="19" t="n"/>
      <c r="H1970" s="19" t="n"/>
    </row>
    <row r="1971">
      <c r="A1971" s="19" t="n"/>
      <c r="B1971" s="19" t="n"/>
      <c r="C1971" s="19" t="n"/>
      <c r="D1971" s="19" t="n"/>
      <c r="E1971" s="19" t="n"/>
      <c r="F1971" s="19" t="n"/>
      <c r="G1971" s="19" t="n"/>
      <c r="H1971" s="19" t="n"/>
    </row>
    <row r="1972">
      <c r="A1972" s="19" t="n"/>
      <c r="B1972" s="19" t="n"/>
      <c r="C1972" s="19" t="n"/>
      <c r="D1972" s="19" t="n"/>
      <c r="E1972" s="19" t="n"/>
      <c r="F1972" s="19" t="n"/>
      <c r="G1972" s="19" t="n"/>
      <c r="H1972" s="19" t="n"/>
    </row>
    <row r="1973">
      <c r="A1973" s="19" t="n"/>
      <c r="B1973" s="19" t="n"/>
      <c r="C1973" s="19" t="n"/>
      <c r="D1973" s="19" t="n"/>
      <c r="E1973" s="19" t="n"/>
      <c r="F1973" s="19" t="n"/>
      <c r="G1973" s="19" t="n"/>
      <c r="H1973" s="19" t="n"/>
    </row>
    <row r="1974">
      <c r="A1974" s="19" t="n"/>
      <c r="B1974" s="19" t="n"/>
      <c r="C1974" s="19" t="n"/>
      <c r="D1974" s="19" t="n"/>
      <c r="E1974" s="19" t="n"/>
      <c r="F1974" s="19" t="n"/>
      <c r="G1974" s="19" t="n"/>
      <c r="H1974" s="19" t="n"/>
    </row>
    <row r="1975">
      <c r="A1975" s="19" t="n"/>
      <c r="B1975" s="19" t="n"/>
      <c r="C1975" s="19" t="n"/>
      <c r="D1975" s="19" t="n"/>
      <c r="E1975" s="19" t="n"/>
      <c r="F1975" s="19" t="n"/>
      <c r="G1975" s="19" t="n"/>
      <c r="H1975" s="19" t="n"/>
    </row>
    <row r="1976">
      <c r="A1976" s="19" t="n"/>
      <c r="B1976" s="19" t="n"/>
      <c r="C1976" s="19" t="n"/>
      <c r="D1976" s="19" t="n"/>
      <c r="E1976" s="19" t="n"/>
      <c r="F1976" s="19" t="n"/>
      <c r="G1976" s="19" t="n"/>
      <c r="H1976" s="19" t="n"/>
    </row>
    <row r="1977">
      <c r="A1977" s="19" t="n"/>
      <c r="B1977" s="19" t="n"/>
      <c r="C1977" s="19" t="n"/>
      <c r="D1977" s="19" t="n"/>
      <c r="E1977" s="19" t="n"/>
      <c r="F1977" s="19" t="n"/>
      <c r="G1977" s="19" t="n"/>
      <c r="H1977" s="19" t="n"/>
    </row>
    <row r="1978">
      <c r="A1978" s="19" t="n"/>
      <c r="B1978" s="19" t="n"/>
      <c r="C1978" s="19" t="n"/>
      <c r="D1978" s="19" t="n"/>
      <c r="E1978" s="19" t="n"/>
      <c r="F1978" s="19" t="n"/>
      <c r="G1978" s="19" t="n"/>
      <c r="H1978" s="19" t="n"/>
    </row>
    <row r="1979">
      <c r="A1979" s="19" t="n"/>
      <c r="B1979" s="19" t="n"/>
      <c r="C1979" s="19" t="n"/>
      <c r="D1979" s="19" t="n"/>
      <c r="E1979" s="19" t="n"/>
      <c r="F1979" s="19" t="n"/>
      <c r="G1979" s="19" t="n"/>
      <c r="H1979" s="19" t="n"/>
    </row>
    <row r="1980">
      <c r="A1980" s="19" t="n"/>
      <c r="B1980" s="19" t="n"/>
      <c r="C1980" s="19" t="n"/>
      <c r="D1980" s="19" t="n"/>
      <c r="E1980" s="19" t="n"/>
      <c r="F1980" s="19" t="n"/>
      <c r="G1980" s="19" t="n"/>
      <c r="H1980" s="19" t="n"/>
    </row>
    <row r="1981">
      <c r="A1981" s="19" t="n"/>
      <c r="B1981" s="19" t="n"/>
      <c r="C1981" s="19" t="n"/>
      <c r="D1981" s="19" t="n"/>
      <c r="E1981" s="19" t="n"/>
      <c r="F1981" s="19" t="n"/>
      <c r="G1981" s="19" t="n"/>
      <c r="H1981" s="19" t="n"/>
    </row>
    <row r="1982">
      <c r="A1982" s="19" t="n"/>
      <c r="B1982" s="19" t="n"/>
      <c r="C1982" s="19" t="n"/>
      <c r="D1982" s="19" t="n"/>
      <c r="E1982" s="19" t="n"/>
      <c r="F1982" s="19" t="n"/>
      <c r="G1982" s="19" t="n"/>
      <c r="H1982" s="19" t="n"/>
    </row>
    <row r="1983">
      <c r="A1983" s="19" t="n"/>
      <c r="B1983" s="19" t="n"/>
      <c r="C1983" s="19" t="n"/>
      <c r="D1983" s="19" t="n"/>
      <c r="E1983" s="19" t="n"/>
      <c r="F1983" s="19" t="n"/>
      <c r="G1983" s="19" t="n"/>
      <c r="H1983" s="19" t="n"/>
    </row>
    <row r="1984">
      <c r="A1984" s="19" t="n"/>
      <c r="B1984" s="19" t="n"/>
      <c r="C1984" s="19" t="n"/>
      <c r="D1984" s="19" t="n"/>
      <c r="E1984" s="19" t="n"/>
      <c r="F1984" s="19" t="n"/>
      <c r="G1984" s="19" t="n"/>
      <c r="H1984" s="19" t="n"/>
    </row>
    <row r="1985">
      <c r="A1985" s="19" t="n"/>
      <c r="B1985" s="19" t="n"/>
      <c r="C1985" s="19" t="n"/>
      <c r="D1985" s="19" t="n"/>
      <c r="E1985" s="19" t="n"/>
      <c r="F1985" s="19" t="n"/>
      <c r="G1985" s="19" t="n"/>
      <c r="H1985" s="19" t="n"/>
    </row>
    <row r="1986">
      <c r="A1986" s="19" t="n"/>
      <c r="B1986" s="19" t="n"/>
      <c r="C1986" s="19" t="n"/>
      <c r="D1986" s="19" t="n"/>
      <c r="E1986" s="19" t="n"/>
      <c r="F1986" s="19" t="n"/>
      <c r="G1986" s="19" t="n"/>
      <c r="H1986" s="19" t="n"/>
    </row>
    <row r="1987">
      <c r="A1987" s="19" t="n"/>
      <c r="B1987" s="19" t="n"/>
      <c r="C1987" s="19" t="n"/>
      <c r="D1987" s="19" t="n"/>
      <c r="E1987" s="19" t="n"/>
      <c r="F1987" s="19" t="n"/>
      <c r="G1987" s="19" t="n"/>
      <c r="H1987" s="19" t="n"/>
    </row>
    <row r="1988">
      <c r="A1988" s="19" t="n"/>
      <c r="B1988" s="19" t="n"/>
      <c r="C1988" s="19" t="n"/>
      <c r="D1988" s="19" t="n"/>
      <c r="E1988" s="19" t="n"/>
      <c r="F1988" s="19" t="n"/>
      <c r="G1988" s="19" t="n"/>
      <c r="H1988" s="19" t="n"/>
    </row>
    <row r="1989">
      <c r="A1989" s="19" t="n"/>
      <c r="B1989" s="19" t="n"/>
      <c r="C1989" s="19" t="n"/>
      <c r="D1989" s="19" t="n"/>
      <c r="E1989" s="19" t="n"/>
      <c r="F1989" s="19" t="n"/>
      <c r="G1989" s="19" t="n"/>
      <c r="H1989" s="19" t="n"/>
    </row>
    <row r="1990">
      <c r="A1990" s="19" t="n"/>
      <c r="B1990" s="19" t="n"/>
      <c r="C1990" s="19" t="n"/>
      <c r="D1990" s="19" t="n"/>
      <c r="E1990" s="19" t="n"/>
      <c r="F1990" s="19" t="n"/>
      <c r="G1990" s="19" t="n"/>
      <c r="H1990" s="19" t="n"/>
    </row>
    <row r="1991">
      <c r="A1991" s="19" t="n"/>
      <c r="B1991" s="19" t="n"/>
      <c r="C1991" s="19" t="n"/>
      <c r="D1991" s="19" t="n"/>
      <c r="E1991" s="19" t="n"/>
      <c r="F1991" s="19" t="n"/>
      <c r="G1991" s="19" t="n"/>
      <c r="H1991" s="19" t="n"/>
    </row>
    <row r="1992">
      <c r="A1992" s="19" t="n"/>
      <c r="B1992" s="19" t="n"/>
      <c r="C1992" s="19" t="n"/>
      <c r="D1992" s="19" t="n"/>
      <c r="E1992" s="19" t="n"/>
      <c r="F1992" s="19" t="n"/>
      <c r="G1992" s="19" t="n"/>
      <c r="H1992" s="19" t="n"/>
    </row>
    <row r="1993">
      <c r="A1993" s="19" t="n"/>
      <c r="B1993" s="19" t="n"/>
      <c r="C1993" s="19" t="n"/>
      <c r="D1993" s="19" t="n"/>
      <c r="E1993" s="19" t="n"/>
      <c r="F1993" s="19" t="n"/>
      <c r="G1993" s="19" t="n"/>
      <c r="H1993" s="19" t="n"/>
    </row>
    <row r="1994">
      <c r="A1994" s="19" t="n"/>
      <c r="B1994" s="19" t="n"/>
      <c r="C1994" s="19" t="n"/>
      <c r="D1994" s="19" t="n"/>
      <c r="E1994" s="19" t="n"/>
      <c r="F1994" s="19" t="n"/>
      <c r="G1994" s="19" t="n"/>
      <c r="H1994" s="19" t="n"/>
    </row>
    <row r="1995">
      <c r="A1995" s="19" t="n"/>
      <c r="B1995" s="19" t="n"/>
      <c r="C1995" s="19" t="n"/>
      <c r="D1995" s="19" t="n"/>
      <c r="E1995" s="19" t="n"/>
      <c r="F1995" s="19" t="n"/>
      <c r="G1995" s="19" t="n"/>
      <c r="H1995" s="19" t="n"/>
    </row>
    <row r="1996">
      <c r="A1996" s="19" t="n"/>
      <c r="B1996" s="19" t="n"/>
      <c r="C1996" s="19" t="n"/>
      <c r="D1996" s="19" t="n"/>
      <c r="E1996" s="19" t="n"/>
      <c r="F1996" s="19" t="n"/>
      <c r="G1996" s="19" t="n"/>
      <c r="H1996" s="19" t="n"/>
    </row>
    <row r="1997">
      <c r="A1997" s="19" t="n"/>
      <c r="B1997" s="19" t="n"/>
      <c r="C1997" s="19" t="n"/>
      <c r="D1997" s="19" t="n"/>
      <c r="E1997" s="19" t="n"/>
      <c r="F1997" s="19" t="n"/>
      <c r="G1997" s="19" t="n"/>
      <c r="H1997" s="19" t="n"/>
    </row>
    <row r="1998">
      <c r="A1998" s="19" t="n"/>
      <c r="B1998" s="19" t="n"/>
      <c r="C1998" s="19" t="n"/>
      <c r="D1998" s="19" t="n"/>
      <c r="E1998" s="19" t="n"/>
      <c r="F1998" s="19" t="n"/>
      <c r="G1998" s="19" t="n"/>
      <c r="H1998" s="19" t="n"/>
    </row>
    <row r="1999">
      <c r="A1999" s="19" t="n"/>
      <c r="B1999" s="19" t="n"/>
      <c r="C1999" s="19" t="n"/>
      <c r="D1999" s="19" t="n"/>
      <c r="E1999" s="19" t="n"/>
      <c r="F1999" s="19" t="n"/>
      <c r="G1999" s="19" t="n"/>
      <c r="H1999" s="19" t="n"/>
    </row>
    <row r="2000">
      <c r="A2000" s="19" t="n"/>
      <c r="B2000" s="19" t="n"/>
      <c r="C2000" s="19" t="n"/>
      <c r="D2000" s="19" t="n"/>
      <c r="E2000" s="19" t="n"/>
      <c r="F2000" s="19" t="n"/>
      <c r="G2000" s="19" t="n"/>
      <c r="H2000" s="19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 password="CE4B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37474F"/>
    <outlinePr summaryBelow="1" summaryRight="1"/>
    <pageSetUpPr/>
  </sheetPr>
  <dimension ref="A1:E200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8" customWidth="1" min="5" max="5"/>
  </cols>
  <sheetData>
    <row r="1">
      <c r="A1" s="1" t="inlineStr">
        <is>
          <t>tblLocations</t>
        </is>
      </c>
    </row>
    <row r="2">
      <c r="A2" s="2" t="inlineStr">
        <is>
          <t>Storage locations. StorageLocationID references from tblContainers.</t>
        </is>
      </c>
    </row>
    <row r="3"/>
    <row r="4">
      <c r="A4" s="6" t="inlineStr">
        <is>
          <t>StorageLocationID</t>
        </is>
      </c>
      <c r="B4" s="6" t="inlineStr">
        <is>
          <t>LocationName</t>
        </is>
      </c>
      <c r="C4" s="6" t="inlineStr">
        <is>
          <t>LocationType</t>
        </is>
      </c>
      <c r="D4" s="6" t="inlineStr">
        <is>
          <t>Description</t>
        </is>
      </c>
      <c r="E4" s="6" t="inlineStr">
        <is>
          <t>Active</t>
        </is>
      </c>
    </row>
    <row r="5">
      <c r="A5" s="19" t="inlineStr">
        <is>
          <t>LOC0001</t>
        </is>
      </c>
      <c r="B5" s="19" t="inlineStr">
        <is>
          <t>Chemical Cabinet 1</t>
        </is>
      </c>
      <c r="C5" s="19" t="inlineStr">
        <is>
          <t>Cabinet</t>
        </is>
      </c>
      <c r="D5" s="19" t="inlineStr">
        <is>
          <t>Flammables</t>
        </is>
      </c>
      <c r="E5" s="19" t="b">
        <v>1</v>
      </c>
    </row>
    <row r="6">
      <c r="A6" s="19" t="inlineStr">
        <is>
          <t>LOC0002</t>
        </is>
      </c>
      <c r="B6" s="19" t="inlineStr">
        <is>
          <t>Chemical Cabinet 2</t>
        </is>
      </c>
      <c r="C6" s="19" t="inlineStr">
        <is>
          <t>Cabinet</t>
        </is>
      </c>
      <c r="D6" s="19" t="inlineStr">
        <is>
          <t>Acids</t>
        </is>
      </c>
      <c r="E6" s="19" t="b">
        <v>1</v>
      </c>
    </row>
    <row r="7">
      <c r="A7" s="19" t="inlineStr">
        <is>
          <t>LOC0003</t>
        </is>
      </c>
      <c r="B7" s="19" t="inlineStr">
        <is>
          <t>Fridge 1</t>
        </is>
      </c>
      <c r="C7" s="19" t="inlineStr">
        <is>
          <t>Fridge</t>
        </is>
      </c>
      <c r="D7" s="19" t="inlineStr">
        <is>
          <t>Cold reagents</t>
        </is>
      </c>
      <c r="E7" s="19" t="b">
        <v>1</v>
      </c>
    </row>
    <row r="8">
      <c r="A8" s="19" t="inlineStr">
        <is>
          <t>LOC0004</t>
        </is>
      </c>
      <c r="B8" s="19" t="inlineStr">
        <is>
          <t>Plastics Shelf A</t>
        </is>
      </c>
      <c r="C8" s="19" t="inlineStr">
        <is>
          <t>Shelf</t>
        </is>
      </c>
      <c r="D8" s="19" t="inlineStr">
        <is>
          <t>Pipette tips, tubes, gloves</t>
        </is>
      </c>
      <c r="E8" s="19" t="b">
        <v>1</v>
      </c>
    </row>
    <row r="9">
      <c r="A9" s="19" t="inlineStr">
        <is>
          <t>LOC0005</t>
        </is>
      </c>
      <c r="B9" s="19" t="inlineStr">
        <is>
          <t>Plastics Shelf B</t>
        </is>
      </c>
      <c r="C9" s="19" t="inlineStr">
        <is>
          <t>Shelf</t>
        </is>
      </c>
      <c r="D9" s="19" t="inlineStr">
        <is>
          <t>Filters, plates</t>
        </is>
      </c>
      <c r="E9" s="19" t="b">
        <v>1</v>
      </c>
    </row>
    <row r="10">
      <c r="A10" s="19" t="inlineStr">
        <is>
          <t>LOC0006</t>
        </is>
      </c>
      <c r="B10" s="19" t="inlineStr">
        <is>
          <t>Freezer -20C</t>
        </is>
      </c>
      <c r="C10" s="19" t="inlineStr">
        <is>
          <t>Freezer</t>
        </is>
      </c>
      <c r="D10" s="19" t="inlineStr">
        <is>
          <t>Frozen reagents</t>
        </is>
      </c>
      <c r="E10" s="19" t="b">
        <v>1</v>
      </c>
    </row>
    <row r="11">
      <c r="A11" s="19" t="n"/>
      <c r="B11" s="19" t="n"/>
      <c r="C11" s="19" t="n"/>
      <c r="D11" s="19" t="n"/>
      <c r="E11" s="19" t="n"/>
    </row>
    <row r="12">
      <c r="A12" s="19" t="n"/>
      <c r="B12" s="19" t="n"/>
      <c r="C12" s="19" t="n"/>
      <c r="D12" s="19" t="n"/>
      <c r="E12" s="19" t="n"/>
    </row>
    <row r="13">
      <c r="A13" s="19" t="n"/>
      <c r="B13" s="19" t="n"/>
      <c r="C13" s="19" t="n"/>
      <c r="D13" s="19" t="n"/>
      <c r="E13" s="19" t="n"/>
    </row>
    <row r="14">
      <c r="A14" s="19" t="n"/>
      <c r="B14" s="19" t="n"/>
      <c r="C14" s="19" t="n"/>
      <c r="D14" s="19" t="n"/>
      <c r="E14" s="19" t="n"/>
    </row>
    <row r="15">
      <c r="A15" s="19" t="n"/>
      <c r="B15" s="19" t="n"/>
      <c r="C15" s="19" t="n"/>
      <c r="D15" s="19" t="n"/>
      <c r="E15" s="19" t="n"/>
    </row>
    <row r="16">
      <c r="A16" s="19" t="n"/>
      <c r="B16" s="19" t="n"/>
      <c r="C16" s="19" t="n"/>
      <c r="D16" s="19" t="n"/>
      <c r="E16" s="19" t="n"/>
    </row>
    <row r="17">
      <c r="A17" s="19" t="n"/>
      <c r="B17" s="19" t="n"/>
      <c r="C17" s="19" t="n"/>
      <c r="D17" s="19" t="n"/>
      <c r="E17" s="19" t="n"/>
    </row>
    <row r="18">
      <c r="A18" s="19" t="n"/>
      <c r="B18" s="19" t="n"/>
      <c r="C18" s="19" t="n"/>
      <c r="D18" s="19" t="n"/>
      <c r="E18" s="19" t="n"/>
    </row>
    <row r="19">
      <c r="A19" s="19" t="n"/>
      <c r="B19" s="19" t="n"/>
      <c r="C19" s="19" t="n"/>
      <c r="D19" s="19" t="n"/>
      <c r="E19" s="19" t="n"/>
    </row>
    <row r="20">
      <c r="A20" s="19" t="n"/>
      <c r="B20" s="19" t="n"/>
      <c r="C20" s="19" t="n"/>
      <c r="D20" s="19" t="n"/>
      <c r="E20" s="19" t="n"/>
    </row>
    <row r="21">
      <c r="A21" s="19" t="n"/>
      <c r="B21" s="19" t="n"/>
      <c r="C21" s="19" t="n"/>
      <c r="D21" s="19" t="n"/>
      <c r="E21" s="19" t="n"/>
    </row>
    <row r="22">
      <c r="A22" s="19" t="n"/>
      <c r="B22" s="19" t="n"/>
      <c r="C22" s="19" t="n"/>
      <c r="D22" s="19" t="n"/>
      <c r="E22" s="19" t="n"/>
    </row>
    <row r="23">
      <c r="A23" s="19" t="n"/>
      <c r="B23" s="19" t="n"/>
      <c r="C23" s="19" t="n"/>
      <c r="D23" s="19" t="n"/>
      <c r="E23" s="19" t="n"/>
    </row>
    <row r="24">
      <c r="A24" s="19" t="n"/>
      <c r="B24" s="19" t="n"/>
      <c r="C24" s="19" t="n"/>
      <c r="D24" s="19" t="n"/>
      <c r="E24" s="19" t="n"/>
    </row>
    <row r="25">
      <c r="A25" s="19" t="n"/>
      <c r="B25" s="19" t="n"/>
      <c r="C25" s="19" t="n"/>
      <c r="D25" s="19" t="n"/>
      <c r="E25" s="19" t="n"/>
    </row>
    <row r="26">
      <c r="A26" s="19" t="n"/>
      <c r="B26" s="19" t="n"/>
      <c r="C26" s="19" t="n"/>
      <c r="D26" s="19" t="n"/>
      <c r="E26" s="19" t="n"/>
    </row>
    <row r="27">
      <c r="A27" s="19" t="n"/>
      <c r="B27" s="19" t="n"/>
      <c r="C27" s="19" t="n"/>
      <c r="D27" s="19" t="n"/>
      <c r="E27" s="19" t="n"/>
    </row>
    <row r="28">
      <c r="A28" s="19" t="n"/>
      <c r="B28" s="19" t="n"/>
      <c r="C28" s="19" t="n"/>
      <c r="D28" s="19" t="n"/>
      <c r="E28" s="19" t="n"/>
    </row>
    <row r="29">
      <c r="A29" s="19" t="n"/>
      <c r="B29" s="19" t="n"/>
      <c r="C29" s="19" t="n"/>
      <c r="D29" s="19" t="n"/>
      <c r="E29" s="19" t="n"/>
    </row>
    <row r="30">
      <c r="A30" s="19" t="n"/>
      <c r="B30" s="19" t="n"/>
      <c r="C30" s="19" t="n"/>
      <c r="D30" s="19" t="n"/>
      <c r="E30" s="19" t="n"/>
    </row>
    <row r="31">
      <c r="A31" s="19" t="n"/>
      <c r="B31" s="19" t="n"/>
      <c r="C31" s="19" t="n"/>
      <c r="D31" s="19" t="n"/>
      <c r="E31" s="19" t="n"/>
    </row>
    <row r="32">
      <c r="A32" s="19" t="n"/>
      <c r="B32" s="19" t="n"/>
      <c r="C32" s="19" t="n"/>
      <c r="D32" s="19" t="n"/>
      <c r="E32" s="19" t="n"/>
    </row>
    <row r="33">
      <c r="A33" s="19" t="n"/>
      <c r="B33" s="19" t="n"/>
      <c r="C33" s="19" t="n"/>
      <c r="D33" s="19" t="n"/>
      <c r="E33" s="19" t="n"/>
    </row>
    <row r="34">
      <c r="A34" s="19" t="n"/>
      <c r="B34" s="19" t="n"/>
      <c r="C34" s="19" t="n"/>
      <c r="D34" s="19" t="n"/>
      <c r="E34" s="19" t="n"/>
    </row>
    <row r="35">
      <c r="A35" s="19" t="n"/>
      <c r="B35" s="19" t="n"/>
      <c r="C35" s="19" t="n"/>
      <c r="D35" s="19" t="n"/>
      <c r="E35" s="19" t="n"/>
    </row>
    <row r="36">
      <c r="A36" s="19" t="n"/>
      <c r="B36" s="19" t="n"/>
      <c r="C36" s="19" t="n"/>
      <c r="D36" s="19" t="n"/>
      <c r="E36" s="19" t="n"/>
    </row>
    <row r="37">
      <c r="A37" s="19" t="n"/>
      <c r="B37" s="19" t="n"/>
      <c r="C37" s="19" t="n"/>
      <c r="D37" s="19" t="n"/>
      <c r="E37" s="19" t="n"/>
    </row>
    <row r="38">
      <c r="A38" s="19" t="n"/>
      <c r="B38" s="19" t="n"/>
      <c r="C38" s="19" t="n"/>
      <c r="D38" s="19" t="n"/>
      <c r="E38" s="19" t="n"/>
    </row>
    <row r="39">
      <c r="A39" s="19" t="n"/>
      <c r="B39" s="19" t="n"/>
      <c r="C39" s="19" t="n"/>
      <c r="D39" s="19" t="n"/>
      <c r="E39" s="19" t="n"/>
    </row>
    <row r="40">
      <c r="A40" s="19" t="n"/>
      <c r="B40" s="19" t="n"/>
      <c r="C40" s="19" t="n"/>
      <c r="D40" s="19" t="n"/>
      <c r="E40" s="19" t="n"/>
    </row>
    <row r="41">
      <c r="A41" s="19" t="n"/>
      <c r="B41" s="19" t="n"/>
      <c r="C41" s="19" t="n"/>
      <c r="D41" s="19" t="n"/>
      <c r="E41" s="19" t="n"/>
    </row>
    <row r="42">
      <c r="A42" s="19" t="n"/>
      <c r="B42" s="19" t="n"/>
      <c r="C42" s="19" t="n"/>
      <c r="D42" s="19" t="n"/>
      <c r="E42" s="19" t="n"/>
    </row>
    <row r="43">
      <c r="A43" s="19" t="n"/>
      <c r="B43" s="19" t="n"/>
      <c r="C43" s="19" t="n"/>
      <c r="D43" s="19" t="n"/>
      <c r="E43" s="19" t="n"/>
    </row>
    <row r="44">
      <c r="A44" s="19" t="n"/>
      <c r="B44" s="19" t="n"/>
      <c r="C44" s="19" t="n"/>
      <c r="D44" s="19" t="n"/>
      <c r="E44" s="19" t="n"/>
    </row>
    <row r="45">
      <c r="A45" s="19" t="n"/>
      <c r="B45" s="19" t="n"/>
      <c r="C45" s="19" t="n"/>
      <c r="D45" s="19" t="n"/>
      <c r="E45" s="19" t="n"/>
    </row>
    <row r="46">
      <c r="A46" s="19" t="n"/>
      <c r="B46" s="19" t="n"/>
      <c r="C46" s="19" t="n"/>
      <c r="D46" s="19" t="n"/>
      <c r="E46" s="19" t="n"/>
    </row>
    <row r="47">
      <c r="A47" s="19" t="n"/>
      <c r="B47" s="19" t="n"/>
      <c r="C47" s="19" t="n"/>
      <c r="D47" s="19" t="n"/>
      <c r="E47" s="19" t="n"/>
    </row>
    <row r="48">
      <c r="A48" s="19" t="n"/>
      <c r="B48" s="19" t="n"/>
      <c r="C48" s="19" t="n"/>
      <c r="D48" s="19" t="n"/>
      <c r="E48" s="19" t="n"/>
    </row>
    <row r="49">
      <c r="A49" s="19" t="n"/>
      <c r="B49" s="19" t="n"/>
      <c r="C49" s="19" t="n"/>
      <c r="D49" s="19" t="n"/>
      <c r="E49" s="19" t="n"/>
    </row>
    <row r="50">
      <c r="A50" s="19" t="n"/>
      <c r="B50" s="19" t="n"/>
      <c r="C50" s="19" t="n"/>
      <c r="D50" s="19" t="n"/>
      <c r="E50" s="19" t="n"/>
    </row>
    <row r="51">
      <c r="A51" s="19" t="n"/>
      <c r="B51" s="19" t="n"/>
      <c r="C51" s="19" t="n"/>
      <c r="D51" s="19" t="n"/>
      <c r="E51" s="19" t="n"/>
    </row>
    <row r="52">
      <c r="A52" s="19" t="n"/>
      <c r="B52" s="19" t="n"/>
      <c r="C52" s="19" t="n"/>
      <c r="D52" s="19" t="n"/>
      <c r="E52" s="19" t="n"/>
    </row>
    <row r="53">
      <c r="A53" s="19" t="n"/>
      <c r="B53" s="19" t="n"/>
      <c r="C53" s="19" t="n"/>
      <c r="D53" s="19" t="n"/>
      <c r="E53" s="19" t="n"/>
    </row>
    <row r="54">
      <c r="A54" s="19" t="n"/>
      <c r="B54" s="19" t="n"/>
      <c r="C54" s="19" t="n"/>
      <c r="D54" s="19" t="n"/>
      <c r="E54" s="19" t="n"/>
    </row>
    <row r="55">
      <c r="A55" s="19" t="n"/>
      <c r="B55" s="19" t="n"/>
      <c r="C55" s="19" t="n"/>
      <c r="D55" s="19" t="n"/>
      <c r="E55" s="19" t="n"/>
    </row>
    <row r="56">
      <c r="A56" s="19" t="n"/>
      <c r="B56" s="19" t="n"/>
      <c r="C56" s="19" t="n"/>
      <c r="D56" s="19" t="n"/>
      <c r="E56" s="19" t="n"/>
    </row>
    <row r="57">
      <c r="A57" s="19" t="n"/>
      <c r="B57" s="19" t="n"/>
      <c r="C57" s="19" t="n"/>
      <c r="D57" s="19" t="n"/>
      <c r="E57" s="19" t="n"/>
    </row>
    <row r="58">
      <c r="A58" s="19" t="n"/>
      <c r="B58" s="19" t="n"/>
      <c r="C58" s="19" t="n"/>
      <c r="D58" s="19" t="n"/>
      <c r="E58" s="19" t="n"/>
    </row>
    <row r="59">
      <c r="A59" s="19" t="n"/>
      <c r="B59" s="19" t="n"/>
      <c r="C59" s="19" t="n"/>
      <c r="D59" s="19" t="n"/>
      <c r="E59" s="19" t="n"/>
    </row>
    <row r="60">
      <c r="A60" s="19" t="n"/>
      <c r="B60" s="19" t="n"/>
      <c r="C60" s="19" t="n"/>
      <c r="D60" s="19" t="n"/>
      <c r="E60" s="19" t="n"/>
    </row>
    <row r="61">
      <c r="A61" s="19" t="n"/>
      <c r="B61" s="19" t="n"/>
      <c r="C61" s="19" t="n"/>
      <c r="D61" s="19" t="n"/>
      <c r="E61" s="19" t="n"/>
    </row>
    <row r="62">
      <c r="A62" s="19" t="n"/>
      <c r="B62" s="19" t="n"/>
      <c r="C62" s="19" t="n"/>
      <c r="D62" s="19" t="n"/>
      <c r="E62" s="19" t="n"/>
    </row>
    <row r="63">
      <c r="A63" s="19" t="n"/>
      <c r="B63" s="19" t="n"/>
      <c r="C63" s="19" t="n"/>
      <c r="D63" s="19" t="n"/>
      <c r="E63" s="19" t="n"/>
    </row>
    <row r="64">
      <c r="A64" s="19" t="n"/>
      <c r="B64" s="19" t="n"/>
      <c r="C64" s="19" t="n"/>
      <c r="D64" s="19" t="n"/>
      <c r="E64" s="19" t="n"/>
    </row>
    <row r="65">
      <c r="A65" s="19" t="n"/>
      <c r="B65" s="19" t="n"/>
      <c r="C65" s="19" t="n"/>
      <c r="D65" s="19" t="n"/>
      <c r="E65" s="19" t="n"/>
    </row>
    <row r="66">
      <c r="A66" s="19" t="n"/>
      <c r="B66" s="19" t="n"/>
      <c r="C66" s="19" t="n"/>
      <c r="D66" s="19" t="n"/>
      <c r="E66" s="19" t="n"/>
    </row>
    <row r="67">
      <c r="A67" s="19" t="n"/>
      <c r="B67" s="19" t="n"/>
      <c r="C67" s="19" t="n"/>
      <c r="D67" s="19" t="n"/>
      <c r="E67" s="19" t="n"/>
    </row>
    <row r="68">
      <c r="A68" s="19" t="n"/>
      <c r="B68" s="19" t="n"/>
      <c r="C68" s="19" t="n"/>
      <c r="D68" s="19" t="n"/>
      <c r="E68" s="19" t="n"/>
    </row>
    <row r="69">
      <c r="A69" s="19" t="n"/>
      <c r="B69" s="19" t="n"/>
      <c r="C69" s="19" t="n"/>
      <c r="D69" s="19" t="n"/>
      <c r="E69" s="19" t="n"/>
    </row>
    <row r="70">
      <c r="A70" s="19" t="n"/>
      <c r="B70" s="19" t="n"/>
      <c r="C70" s="19" t="n"/>
      <c r="D70" s="19" t="n"/>
      <c r="E70" s="19" t="n"/>
    </row>
    <row r="71">
      <c r="A71" s="19" t="n"/>
      <c r="B71" s="19" t="n"/>
      <c r="C71" s="19" t="n"/>
      <c r="D71" s="19" t="n"/>
      <c r="E71" s="19" t="n"/>
    </row>
    <row r="72">
      <c r="A72" s="19" t="n"/>
      <c r="B72" s="19" t="n"/>
      <c r="C72" s="19" t="n"/>
      <c r="D72" s="19" t="n"/>
      <c r="E72" s="19" t="n"/>
    </row>
    <row r="73">
      <c r="A73" s="19" t="n"/>
      <c r="B73" s="19" t="n"/>
      <c r="C73" s="19" t="n"/>
      <c r="D73" s="19" t="n"/>
      <c r="E73" s="19" t="n"/>
    </row>
    <row r="74">
      <c r="A74" s="19" t="n"/>
      <c r="B74" s="19" t="n"/>
      <c r="C74" s="19" t="n"/>
      <c r="D74" s="19" t="n"/>
      <c r="E74" s="19" t="n"/>
    </row>
    <row r="75">
      <c r="A75" s="19" t="n"/>
      <c r="B75" s="19" t="n"/>
      <c r="C75" s="19" t="n"/>
      <c r="D75" s="19" t="n"/>
      <c r="E75" s="19" t="n"/>
    </row>
    <row r="76">
      <c r="A76" s="19" t="n"/>
      <c r="B76" s="19" t="n"/>
      <c r="C76" s="19" t="n"/>
      <c r="D76" s="19" t="n"/>
      <c r="E76" s="19" t="n"/>
    </row>
    <row r="77">
      <c r="A77" s="19" t="n"/>
      <c r="B77" s="19" t="n"/>
      <c r="C77" s="19" t="n"/>
      <c r="D77" s="19" t="n"/>
      <c r="E77" s="19" t="n"/>
    </row>
    <row r="78">
      <c r="A78" s="19" t="n"/>
      <c r="B78" s="19" t="n"/>
      <c r="C78" s="19" t="n"/>
      <c r="D78" s="19" t="n"/>
      <c r="E78" s="19" t="n"/>
    </row>
    <row r="79">
      <c r="A79" s="19" t="n"/>
      <c r="B79" s="19" t="n"/>
      <c r="C79" s="19" t="n"/>
      <c r="D79" s="19" t="n"/>
      <c r="E79" s="19" t="n"/>
    </row>
    <row r="80">
      <c r="A80" s="19" t="n"/>
      <c r="B80" s="19" t="n"/>
      <c r="C80" s="19" t="n"/>
      <c r="D80" s="19" t="n"/>
      <c r="E80" s="19" t="n"/>
    </row>
    <row r="81">
      <c r="A81" s="19" t="n"/>
      <c r="B81" s="19" t="n"/>
      <c r="C81" s="19" t="n"/>
      <c r="D81" s="19" t="n"/>
      <c r="E81" s="19" t="n"/>
    </row>
    <row r="82">
      <c r="A82" s="19" t="n"/>
      <c r="B82" s="19" t="n"/>
      <c r="C82" s="19" t="n"/>
      <c r="D82" s="19" t="n"/>
      <c r="E82" s="19" t="n"/>
    </row>
    <row r="83">
      <c r="A83" s="19" t="n"/>
      <c r="B83" s="19" t="n"/>
      <c r="C83" s="19" t="n"/>
      <c r="D83" s="19" t="n"/>
      <c r="E83" s="19" t="n"/>
    </row>
    <row r="84">
      <c r="A84" s="19" t="n"/>
      <c r="B84" s="19" t="n"/>
      <c r="C84" s="19" t="n"/>
      <c r="D84" s="19" t="n"/>
      <c r="E84" s="19" t="n"/>
    </row>
    <row r="85">
      <c r="A85" s="19" t="n"/>
      <c r="B85" s="19" t="n"/>
      <c r="C85" s="19" t="n"/>
      <c r="D85" s="19" t="n"/>
      <c r="E85" s="19" t="n"/>
    </row>
    <row r="86">
      <c r="A86" s="19" t="n"/>
      <c r="B86" s="19" t="n"/>
      <c r="C86" s="19" t="n"/>
      <c r="D86" s="19" t="n"/>
      <c r="E86" s="19" t="n"/>
    </row>
    <row r="87">
      <c r="A87" s="19" t="n"/>
      <c r="B87" s="19" t="n"/>
      <c r="C87" s="19" t="n"/>
      <c r="D87" s="19" t="n"/>
      <c r="E87" s="19" t="n"/>
    </row>
    <row r="88">
      <c r="A88" s="19" t="n"/>
      <c r="B88" s="19" t="n"/>
      <c r="C88" s="19" t="n"/>
      <c r="D88" s="19" t="n"/>
      <c r="E88" s="19" t="n"/>
    </row>
    <row r="89">
      <c r="A89" s="19" t="n"/>
      <c r="B89" s="19" t="n"/>
      <c r="C89" s="19" t="n"/>
      <c r="D89" s="19" t="n"/>
      <c r="E89" s="19" t="n"/>
    </row>
    <row r="90">
      <c r="A90" s="19" t="n"/>
      <c r="B90" s="19" t="n"/>
      <c r="C90" s="19" t="n"/>
      <c r="D90" s="19" t="n"/>
      <c r="E90" s="19" t="n"/>
    </row>
    <row r="91">
      <c r="A91" s="19" t="n"/>
      <c r="B91" s="19" t="n"/>
      <c r="C91" s="19" t="n"/>
      <c r="D91" s="19" t="n"/>
      <c r="E91" s="19" t="n"/>
    </row>
    <row r="92">
      <c r="A92" s="19" t="n"/>
      <c r="B92" s="19" t="n"/>
      <c r="C92" s="19" t="n"/>
      <c r="D92" s="19" t="n"/>
      <c r="E92" s="19" t="n"/>
    </row>
    <row r="93">
      <c r="A93" s="19" t="n"/>
      <c r="B93" s="19" t="n"/>
      <c r="C93" s="19" t="n"/>
      <c r="D93" s="19" t="n"/>
      <c r="E93" s="19" t="n"/>
    </row>
    <row r="94">
      <c r="A94" s="19" t="n"/>
      <c r="B94" s="19" t="n"/>
      <c r="C94" s="19" t="n"/>
      <c r="D94" s="19" t="n"/>
      <c r="E94" s="19" t="n"/>
    </row>
    <row r="95">
      <c r="A95" s="19" t="n"/>
      <c r="B95" s="19" t="n"/>
      <c r="C95" s="19" t="n"/>
      <c r="D95" s="19" t="n"/>
      <c r="E95" s="19" t="n"/>
    </row>
    <row r="96">
      <c r="A96" s="19" t="n"/>
      <c r="B96" s="19" t="n"/>
      <c r="C96" s="19" t="n"/>
      <c r="D96" s="19" t="n"/>
      <c r="E96" s="19" t="n"/>
    </row>
    <row r="97">
      <c r="A97" s="19" t="n"/>
      <c r="B97" s="19" t="n"/>
      <c r="C97" s="19" t="n"/>
      <c r="D97" s="19" t="n"/>
      <c r="E97" s="19" t="n"/>
    </row>
    <row r="98">
      <c r="A98" s="19" t="n"/>
      <c r="B98" s="19" t="n"/>
      <c r="C98" s="19" t="n"/>
      <c r="D98" s="19" t="n"/>
      <c r="E98" s="19" t="n"/>
    </row>
    <row r="99">
      <c r="A99" s="19" t="n"/>
      <c r="B99" s="19" t="n"/>
      <c r="C99" s="19" t="n"/>
      <c r="D99" s="19" t="n"/>
      <c r="E99" s="19" t="n"/>
    </row>
    <row r="100">
      <c r="A100" s="19" t="n"/>
      <c r="B100" s="19" t="n"/>
      <c r="C100" s="19" t="n"/>
      <c r="D100" s="19" t="n"/>
      <c r="E100" s="19" t="n"/>
    </row>
    <row r="101">
      <c r="A101" s="19" t="n"/>
      <c r="B101" s="19" t="n"/>
      <c r="C101" s="19" t="n"/>
      <c r="D101" s="19" t="n"/>
      <c r="E101" s="19" t="n"/>
    </row>
    <row r="102">
      <c r="A102" s="19" t="n"/>
      <c r="B102" s="19" t="n"/>
      <c r="C102" s="19" t="n"/>
      <c r="D102" s="19" t="n"/>
      <c r="E102" s="19" t="n"/>
    </row>
    <row r="103">
      <c r="A103" s="19" t="n"/>
      <c r="B103" s="19" t="n"/>
      <c r="C103" s="19" t="n"/>
      <c r="D103" s="19" t="n"/>
      <c r="E103" s="19" t="n"/>
    </row>
    <row r="104">
      <c r="A104" s="19" t="n"/>
      <c r="B104" s="19" t="n"/>
      <c r="C104" s="19" t="n"/>
      <c r="D104" s="19" t="n"/>
      <c r="E104" s="19" t="n"/>
    </row>
    <row r="105">
      <c r="A105" s="19" t="n"/>
      <c r="B105" s="19" t="n"/>
      <c r="C105" s="19" t="n"/>
      <c r="D105" s="19" t="n"/>
      <c r="E105" s="19" t="n"/>
    </row>
    <row r="106">
      <c r="A106" s="19" t="n"/>
      <c r="B106" s="19" t="n"/>
      <c r="C106" s="19" t="n"/>
      <c r="D106" s="19" t="n"/>
      <c r="E106" s="19" t="n"/>
    </row>
    <row r="107">
      <c r="A107" s="19" t="n"/>
      <c r="B107" s="19" t="n"/>
      <c r="C107" s="19" t="n"/>
      <c r="D107" s="19" t="n"/>
      <c r="E107" s="19" t="n"/>
    </row>
    <row r="108">
      <c r="A108" s="19" t="n"/>
      <c r="B108" s="19" t="n"/>
      <c r="C108" s="19" t="n"/>
      <c r="D108" s="19" t="n"/>
      <c r="E108" s="19" t="n"/>
    </row>
    <row r="109">
      <c r="A109" s="19" t="n"/>
      <c r="B109" s="19" t="n"/>
      <c r="C109" s="19" t="n"/>
      <c r="D109" s="19" t="n"/>
      <c r="E109" s="19" t="n"/>
    </row>
    <row r="110">
      <c r="A110" s="19" t="n"/>
      <c r="B110" s="19" t="n"/>
      <c r="C110" s="19" t="n"/>
      <c r="D110" s="19" t="n"/>
      <c r="E110" s="19" t="n"/>
    </row>
    <row r="111">
      <c r="A111" s="19" t="n"/>
      <c r="B111" s="19" t="n"/>
      <c r="C111" s="19" t="n"/>
      <c r="D111" s="19" t="n"/>
      <c r="E111" s="19" t="n"/>
    </row>
    <row r="112">
      <c r="A112" s="19" t="n"/>
      <c r="B112" s="19" t="n"/>
      <c r="C112" s="19" t="n"/>
      <c r="D112" s="19" t="n"/>
      <c r="E112" s="19" t="n"/>
    </row>
    <row r="113">
      <c r="A113" s="19" t="n"/>
      <c r="B113" s="19" t="n"/>
      <c r="C113" s="19" t="n"/>
      <c r="D113" s="19" t="n"/>
      <c r="E113" s="19" t="n"/>
    </row>
    <row r="114">
      <c r="A114" s="19" t="n"/>
      <c r="B114" s="19" t="n"/>
      <c r="C114" s="19" t="n"/>
      <c r="D114" s="19" t="n"/>
      <c r="E114" s="19" t="n"/>
    </row>
    <row r="115">
      <c r="A115" s="19" t="n"/>
      <c r="B115" s="19" t="n"/>
      <c r="C115" s="19" t="n"/>
      <c r="D115" s="19" t="n"/>
      <c r="E115" s="19" t="n"/>
    </row>
    <row r="116">
      <c r="A116" s="19" t="n"/>
      <c r="B116" s="19" t="n"/>
      <c r="C116" s="19" t="n"/>
      <c r="D116" s="19" t="n"/>
      <c r="E116" s="19" t="n"/>
    </row>
    <row r="117">
      <c r="A117" s="19" t="n"/>
      <c r="B117" s="19" t="n"/>
      <c r="C117" s="19" t="n"/>
      <c r="D117" s="19" t="n"/>
      <c r="E117" s="19" t="n"/>
    </row>
    <row r="118">
      <c r="A118" s="19" t="n"/>
      <c r="B118" s="19" t="n"/>
      <c r="C118" s="19" t="n"/>
      <c r="D118" s="19" t="n"/>
      <c r="E118" s="19" t="n"/>
    </row>
    <row r="119">
      <c r="A119" s="19" t="n"/>
      <c r="B119" s="19" t="n"/>
      <c r="C119" s="19" t="n"/>
      <c r="D119" s="19" t="n"/>
      <c r="E119" s="19" t="n"/>
    </row>
    <row r="120">
      <c r="A120" s="19" t="n"/>
      <c r="B120" s="19" t="n"/>
      <c r="C120" s="19" t="n"/>
      <c r="D120" s="19" t="n"/>
      <c r="E120" s="19" t="n"/>
    </row>
    <row r="121">
      <c r="A121" s="19" t="n"/>
      <c r="B121" s="19" t="n"/>
      <c r="C121" s="19" t="n"/>
      <c r="D121" s="19" t="n"/>
      <c r="E121" s="19" t="n"/>
    </row>
    <row r="122">
      <c r="A122" s="19" t="n"/>
      <c r="B122" s="19" t="n"/>
      <c r="C122" s="19" t="n"/>
      <c r="D122" s="19" t="n"/>
      <c r="E122" s="19" t="n"/>
    </row>
    <row r="123">
      <c r="A123" s="19" t="n"/>
      <c r="B123" s="19" t="n"/>
      <c r="C123" s="19" t="n"/>
      <c r="D123" s="19" t="n"/>
      <c r="E123" s="19" t="n"/>
    </row>
    <row r="124">
      <c r="A124" s="19" t="n"/>
      <c r="B124" s="19" t="n"/>
      <c r="C124" s="19" t="n"/>
      <c r="D124" s="19" t="n"/>
      <c r="E124" s="19" t="n"/>
    </row>
    <row r="125">
      <c r="A125" s="19" t="n"/>
      <c r="B125" s="19" t="n"/>
      <c r="C125" s="19" t="n"/>
      <c r="D125" s="19" t="n"/>
      <c r="E125" s="19" t="n"/>
    </row>
    <row r="126">
      <c r="A126" s="19" t="n"/>
      <c r="B126" s="19" t="n"/>
      <c r="C126" s="19" t="n"/>
      <c r="D126" s="19" t="n"/>
      <c r="E126" s="19" t="n"/>
    </row>
    <row r="127">
      <c r="A127" s="19" t="n"/>
      <c r="B127" s="19" t="n"/>
      <c r="C127" s="19" t="n"/>
      <c r="D127" s="19" t="n"/>
      <c r="E127" s="19" t="n"/>
    </row>
    <row r="128">
      <c r="A128" s="19" t="n"/>
      <c r="B128" s="19" t="n"/>
      <c r="C128" s="19" t="n"/>
      <c r="D128" s="19" t="n"/>
      <c r="E128" s="19" t="n"/>
    </row>
    <row r="129">
      <c r="A129" s="19" t="n"/>
      <c r="B129" s="19" t="n"/>
      <c r="C129" s="19" t="n"/>
      <c r="D129" s="19" t="n"/>
      <c r="E129" s="19" t="n"/>
    </row>
    <row r="130">
      <c r="A130" s="19" t="n"/>
      <c r="B130" s="19" t="n"/>
      <c r="C130" s="19" t="n"/>
      <c r="D130" s="19" t="n"/>
      <c r="E130" s="19" t="n"/>
    </row>
    <row r="131">
      <c r="A131" s="19" t="n"/>
      <c r="B131" s="19" t="n"/>
      <c r="C131" s="19" t="n"/>
      <c r="D131" s="19" t="n"/>
      <c r="E131" s="19" t="n"/>
    </row>
    <row r="132">
      <c r="A132" s="19" t="n"/>
      <c r="B132" s="19" t="n"/>
      <c r="C132" s="19" t="n"/>
      <c r="D132" s="19" t="n"/>
      <c r="E132" s="19" t="n"/>
    </row>
    <row r="133">
      <c r="A133" s="19" t="n"/>
      <c r="B133" s="19" t="n"/>
      <c r="C133" s="19" t="n"/>
      <c r="D133" s="19" t="n"/>
      <c r="E133" s="19" t="n"/>
    </row>
    <row r="134">
      <c r="A134" s="19" t="n"/>
      <c r="B134" s="19" t="n"/>
      <c r="C134" s="19" t="n"/>
      <c r="D134" s="19" t="n"/>
      <c r="E134" s="19" t="n"/>
    </row>
    <row r="135">
      <c r="A135" s="19" t="n"/>
      <c r="B135" s="19" t="n"/>
      <c r="C135" s="19" t="n"/>
      <c r="D135" s="19" t="n"/>
      <c r="E135" s="19" t="n"/>
    </row>
    <row r="136">
      <c r="A136" s="19" t="n"/>
      <c r="B136" s="19" t="n"/>
      <c r="C136" s="19" t="n"/>
      <c r="D136" s="19" t="n"/>
      <c r="E136" s="19" t="n"/>
    </row>
    <row r="137">
      <c r="A137" s="19" t="n"/>
      <c r="B137" s="19" t="n"/>
      <c r="C137" s="19" t="n"/>
      <c r="D137" s="19" t="n"/>
      <c r="E137" s="19" t="n"/>
    </row>
    <row r="138">
      <c r="A138" s="19" t="n"/>
      <c r="B138" s="19" t="n"/>
      <c r="C138" s="19" t="n"/>
      <c r="D138" s="19" t="n"/>
      <c r="E138" s="19" t="n"/>
    </row>
    <row r="139">
      <c r="A139" s="19" t="n"/>
      <c r="B139" s="19" t="n"/>
      <c r="C139" s="19" t="n"/>
      <c r="D139" s="19" t="n"/>
      <c r="E139" s="19" t="n"/>
    </row>
    <row r="140">
      <c r="A140" s="19" t="n"/>
      <c r="B140" s="19" t="n"/>
      <c r="C140" s="19" t="n"/>
      <c r="D140" s="19" t="n"/>
      <c r="E140" s="19" t="n"/>
    </row>
    <row r="141">
      <c r="A141" s="19" t="n"/>
      <c r="B141" s="19" t="n"/>
      <c r="C141" s="19" t="n"/>
      <c r="D141" s="19" t="n"/>
      <c r="E141" s="19" t="n"/>
    </row>
    <row r="142">
      <c r="A142" s="19" t="n"/>
      <c r="B142" s="19" t="n"/>
      <c r="C142" s="19" t="n"/>
      <c r="D142" s="19" t="n"/>
      <c r="E142" s="19" t="n"/>
    </row>
    <row r="143">
      <c r="A143" s="19" t="n"/>
      <c r="B143" s="19" t="n"/>
      <c r="C143" s="19" t="n"/>
      <c r="D143" s="19" t="n"/>
      <c r="E143" s="19" t="n"/>
    </row>
    <row r="144">
      <c r="A144" s="19" t="n"/>
      <c r="B144" s="19" t="n"/>
      <c r="C144" s="19" t="n"/>
      <c r="D144" s="19" t="n"/>
      <c r="E144" s="19" t="n"/>
    </row>
    <row r="145">
      <c r="A145" s="19" t="n"/>
      <c r="B145" s="19" t="n"/>
      <c r="C145" s="19" t="n"/>
      <c r="D145" s="19" t="n"/>
      <c r="E145" s="19" t="n"/>
    </row>
    <row r="146">
      <c r="A146" s="19" t="n"/>
      <c r="B146" s="19" t="n"/>
      <c r="C146" s="19" t="n"/>
      <c r="D146" s="19" t="n"/>
      <c r="E146" s="19" t="n"/>
    </row>
    <row r="147">
      <c r="A147" s="19" t="n"/>
      <c r="B147" s="19" t="n"/>
      <c r="C147" s="19" t="n"/>
      <c r="D147" s="19" t="n"/>
      <c r="E147" s="19" t="n"/>
    </row>
    <row r="148">
      <c r="A148" s="19" t="n"/>
      <c r="B148" s="19" t="n"/>
      <c r="C148" s="19" t="n"/>
      <c r="D148" s="19" t="n"/>
      <c r="E148" s="19" t="n"/>
    </row>
    <row r="149">
      <c r="A149" s="19" t="n"/>
      <c r="B149" s="19" t="n"/>
      <c r="C149" s="19" t="n"/>
      <c r="D149" s="19" t="n"/>
      <c r="E149" s="19" t="n"/>
    </row>
    <row r="150">
      <c r="A150" s="19" t="n"/>
      <c r="B150" s="19" t="n"/>
      <c r="C150" s="19" t="n"/>
      <c r="D150" s="19" t="n"/>
      <c r="E150" s="19" t="n"/>
    </row>
    <row r="151">
      <c r="A151" s="19" t="n"/>
      <c r="B151" s="19" t="n"/>
      <c r="C151" s="19" t="n"/>
      <c r="D151" s="19" t="n"/>
      <c r="E151" s="19" t="n"/>
    </row>
    <row r="152">
      <c r="A152" s="19" t="n"/>
      <c r="B152" s="19" t="n"/>
      <c r="C152" s="19" t="n"/>
      <c r="D152" s="19" t="n"/>
      <c r="E152" s="19" t="n"/>
    </row>
    <row r="153">
      <c r="A153" s="19" t="n"/>
      <c r="B153" s="19" t="n"/>
      <c r="C153" s="19" t="n"/>
      <c r="D153" s="19" t="n"/>
      <c r="E153" s="19" t="n"/>
    </row>
    <row r="154">
      <c r="A154" s="19" t="n"/>
      <c r="B154" s="19" t="n"/>
      <c r="C154" s="19" t="n"/>
      <c r="D154" s="19" t="n"/>
      <c r="E154" s="19" t="n"/>
    </row>
    <row r="155">
      <c r="A155" s="19" t="n"/>
      <c r="B155" s="19" t="n"/>
      <c r="C155" s="19" t="n"/>
      <c r="D155" s="19" t="n"/>
      <c r="E155" s="19" t="n"/>
    </row>
    <row r="156">
      <c r="A156" s="19" t="n"/>
      <c r="B156" s="19" t="n"/>
      <c r="C156" s="19" t="n"/>
      <c r="D156" s="19" t="n"/>
      <c r="E156" s="19" t="n"/>
    </row>
    <row r="157">
      <c r="A157" s="19" t="n"/>
      <c r="B157" s="19" t="n"/>
      <c r="C157" s="19" t="n"/>
      <c r="D157" s="19" t="n"/>
      <c r="E157" s="19" t="n"/>
    </row>
    <row r="158">
      <c r="A158" s="19" t="n"/>
      <c r="B158" s="19" t="n"/>
      <c r="C158" s="19" t="n"/>
      <c r="D158" s="19" t="n"/>
      <c r="E158" s="19" t="n"/>
    </row>
    <row r="159">
      <c r="A159" s="19" t="n"/>
      <c r="B159" s="19" t="n"/>
      <c r="C159" s="19" t="n"/>
      <c r="D159" s="19" t="n"/>
      <c r="E159" s="19" t="n"/>
    </row>
    <row r="160">
      <c r="A160" s="19" t="n"/>
      <c r="B160" s="19" t="n"/>
      <c r="C160" s="19" t="n"/>
      <c r="D160" s="19" t="n"/>
      <c r="E160" s="19" t="n"/>
    </row>
    <row r="161">
      <c r="A161" s="19" t="n"/>
      <c r="B161" s="19" t="n"/>
      <c r="C161" s="19" t="n"/>
      <c r="D161" s="19" t="n"/>
      <c r="E161" s="19" t="n"/>
    </row>
    <row r="162">
      <c r="A162" s="19" t="n"/>
      <c r="B162" s="19" t="n"/>
      <c r="C162" s="19" t="n"/>
      <c r="D162" s="19" t="n"/>
      <c r="E162" s="19" t="n"/>
    </row>
    <row r="163">
      <c r="A163" s="19" t="n"/>
      <c r="B163" s="19" t="n"/>
      <c r="C163" s="19" t="n"/>
      <c r="D163" s="19" t="n"/>
      <c r="E163" s="19" t="n"/>
    </row>
    <row r="164">
      <c r="A164" s="19" t="n"/>
      <c r="B164" s="19" t="n"/>
      <c r="C164" s="19" t="n"/>
      <c r="D164" s="19" t="n"/>
      <c r="E164" s="19" t="n"/>
    </row>
    <row r="165">
      <c r="A165" s="19" t="n"/>
      <c r="B165" s="19" t="n"/>
      <c r="C165" s="19" t="n"/>
      <c r="D165" s="19" t="n"/>
      <c r="E165" s="19" t="n"/>
    </row>
    <row r="166">
      <c r="A166" s="19" t="n"/>
      <c r="B166" s="19" t="n"/>
      <c r="C166" s="19" t="n"/>
      <c r="D166" s="19" t="n"/>
      <c r="E166" s="19" t="n"/>
    </row>
    <row r="167">
      <c r="A167" s="19" t="n"/>
      <c r="B167" s="19" t="n"/>
      <c r="C167" s="19" t="n"/>
      <c r="D167" s="19" t="n"/>
      <c r="E167" s="19" t="n"/>
    </row>
    <row r="168">
      <c r="A168" s="19" t="n"/>
      <c r="B168" s="19" t="n"/>
      <c r="C168" s="19" t="n"/>
      <c r="D168" s="19" t="n"/>
      <c r="E168" s="19" t="n"/>
    </row>
    <row r="169">
      <c r="A169" s="19" t="n"/>
      <c r="B169" s="19" t="n"/>
      <c r="C169" s="19" t="n"/>
      <c r="D169" s="19" t="n"/>
      <c r="E169" s="19" t="n"/>
    </row>
    <row r="170">
      <c r="A170" s="19" t="n"/>
      <c r="B170" s="19" t="n"/>
      <c r="C170" s="19" t="n"/>
      <c r="D170" s="19" t="n"/>
      <c r="E170" s="19" t="n"/>
    </row>
    <row r="171">
      <c r="A171" s="19" t="n"/>
      <c r="B171" s="19" t="n"/>
      <c r="C171" s="19" t="n"/>
      <c r="D171" s="19" t="n"/>
      <c r="E171" s="19" t="n"/>
    </row>
    <row r="172">
      <c r="A172" s="19" t="n"/>
      <c r="B172" s="19" t="n"/>
      <c r="C172" s="19" t="n"/>
      <c r="D172" s="19" t="n"/>
      <c r="E172" s="19" t="n"/>
    </row>
    <row r="173">
      <c r="A173" s="19" t="n"/>
      <c r="B173" s="19" t="n"/>
      <c r="C173" s="19" t="n"/>
      <c r="D173" s="19" t="n"/>
      <c r="E173" s="19" t="n"/>
    </row>
    <row r="174">
      <c r="A174" s="19" t="n"/>
      <c r="B174" s="19" t="n"/>
      <c r="C174" s="19" t="n"/>
      <c r="D174" s="19" t="n"/>
      <c r="E174" s="19" t="n"/>
    </row>
    <row r="175">
      <c r="A175" s="19" t="n"/>
      <c r="B175" s="19" t="n"/>
      <c r="C175" s="19" t="n"/>
      <c r="D175" s="19" t="n"/>
      <c r="E175" s="19" t="n"/>
    </row>
    <row r="176">
      <c r="A176" s="19" t="n"/>
      <c r="B176" s="19" t="n"/>
      <c r="C176" s="19" t="n"/>
      <c r="D176" s="19" t="n"/>
      <c r="E176" s="19" t="n"/>
    </row>
    <row r="177">
      <c r="A177" s="19" t="n"/>
      <c r="B177" s="19" t="n"/>
      <c r="C177" s="19" t="n"/>
      <c r="D177" s="19" t="n"/>
      <c r="E177" s="19" t="n"/>
    </row>
    <row r="178">
      <c r="A178" s="19" t="n"/>
      <c r="B178" s="19" t="n"/>
      <c r="C178" s="19" t="n"/>
      <c r="D178" s="19" t="n"/>
      <c r="E178" s="19" t="n"/>
    </row>
    <row r="179">
      <c r="A179" s="19" t="n"/>
      <c r="B179" s="19" t="n"/>
      <c r="C179" s="19" t="n"/>
      <c r="D179" s="19" t="n"/>
      <c r="E179" s="19" t="n"/>
    </row>
    <row r="180">
      <c r="A180" s="19" t="n"/>
      <c r="B180" s="19" t="n"/>
      <c r="C180" s="19" t="n"/>
      <c r="D180" s="19" t="n"/>
      <c r="E180" s="19" t="n"/>
    </row>
    <row r="181">
      <c r="A181" s="19" t="n"/>
      <c r="B181" s="19" t="n"/>
      <c r="C181" s="19" t="n"/>
      <c r="D181" s="19" t="n"/>
      <c r="E181" s="19" t="n"/>
    </row>
    <row r="182">
      <c r="A182" s="19" t="n"/>
      <c r="B182" s="19" t="n"/>
      <c r="C182" s="19" t="n"/>
      <c r="D182" s="19" t="n"/>
      <c r="E182" s="19" t="n"/>
    </row>
    <row r="183">
      <c r="A183" s="19" t="n"/>
      <c r="B183" s="19" t="n"/>
      <c r="C183" s="19" t="n"/>
      <c r="D183" s="19" t="n"/>
      <c r="E183" s="19" t="n"/>
    </row>
    <row r="184">
      <c r="A184" s="19" t="n"/>
      <c r="B184" s="19" t="n"/>
      <c r="C184" s="19" t="n"/>
      <c r="D184" s="19" t="n"/>
      <c r="E184" s="19" t="n"/>
    </row>
    <row r="185">
      <c r="A185" s="19" t="n"/>
      <c r="B185" s="19" t="n"/>
      <c r="C185" s="19" t="n"/>
      <c r="D185" s="19" t="n"/>
      <c r="E185" s="19" t="n"/>
    </row>
    <row r="186">
      <c r="A186" s="19" t="n"/>
      <c r="B186" s="19" t="n"/>
      <c r="C186" s="19" t="n"/>
      <c r="D186" s="19" t="n"/>
      <c r="E186" s="19" t="n"/>
    </row>
    <row r="187">
      <c r="A187" s="19" t="n"/>
      <c r="B187" s="19" t="n"/>
      <c r="C187" s="19" t="n"/>
      <c r="D187" s="19" t="n"/>
      <c r="E187" s="19" t="n"/>
    </row>
    <row r="188">
      <c r="A188" s="19" t="n"/>
      <c r="B188" s="19" t="n"/>
      <c r="C188" s="19" t="n"/>
      <c r="D188" s="19" t="n"/>
      <c r="E188" s="19" t="n"/>
    </row>
    <row r="189">
      <c r="A189" s="19" t="n"/>
      <c r="B189" s="19" t="n"/>
      <c r="C189" s="19" t="n"/>
      <c r="D189" s="19" t="n"/>
      <c r="E189" s="19" t="n"/>
    </row>
    <row r="190">
      <c r="A190" s="19" t="n"/>
      <c r="B190" s="19" t="n"/>
      <c r="C190" s="19" t="n"/>
      <c r="D190" s="19" t="n"/>
      <c r="E190" s="19" t="n"/>
    </row>
    <row r="191">
      <c r="A191" s="19" t="n"/>
      <c r="B191" s="19" t="n"/>
      <c r="C191" s="19" t="n"/>
      <c r="D191" s="19" t="n"/>
      <c r="E191" s="19" t="n"/>
    </row>
    <row r="192">
      <c r="A192" s="19" t="n"/>
      <c r="B192" s="19" t="n"/>
      <c r="C192" s="19" t="n"/>
      <c r="D192" s="19" t="n"/>
      <c r="E192" s="19" t="n"/>
    </row>
    <row r="193">
      <c r="A193" s="19" t="n"/>
      <c r="B193" s="19" t="n"/>
      <c r="C193" s="19" t="n"/>
      <c r="D193" s="19" t="n"/>
      <c r="E193" s="19" t="n"/>
    </row>
    <row r="194">
      <c r="A194" s="19" t="n"/>
      <c r="B194" s="19" t="n"/>
      <c r="C194" s="19" t="n"/>
      <c r="D194" s="19" t="n"/>
      <c r="E194" s="19" t="n"/>
    </row>
    <row r="195">
      <c r="A195" s="19" t="n"/>
      <c r="B195" s="19" t="n"/>
      <c r="C195" s="19" t="n"/>
      <c r="D195" s="19" t="n"/>
      <c r="E195" s="19" t="n"/>
    </row>
    <row r="196">
      <c r="A196" s="19" t="n"/>
      <c r="B196" s="19" t="n"/>
      <c r="C196" s="19" t="n"/>
      <c r="D196" s="19" t="n"/>
      <c r="E196" s="19" t="n"/>
    </row>
    <row r="197">
      <c r="A197" s="19" t="n"/>
      <c r="B197" s="19" t="n"/>
      <c r="C197" s="19" t="n"/>
      <c r="D197" s="19" t="n"/>
      <c r="E197" s="19" t="n"/>
    </row>
    <row r="198">
      <c r="A198" s="19" t="n"/>
      <c r="B198" s="19" t="n"/>
      <c r="C198" s="19" t="n"/>
      <c r="D198" s="19" t="n"/>
      <c r="E198" s="19" t="n"/>
    </row>
    <row r="199">
      <c r="A199" s="19" t="n"/>
      <c r="B199" s="19" t="n"/>
      <c r="C199" s="19" t="n"/>
      <c r="D199" s="19" t="n"/>
      <c r="E199" s="19" t="n"/>
    </row>
    <row r="200">
      <c r="A200" s="19" t="n"/>
      <c r="B200" s="19" t="n"/>
      <c r="C200" s="19" t="n"/>
      <c r="D200" s="19" t="n"/>
      <c r="E200" s="19" t="n"/>
    </row>
    <row r="201">
      <c r="A201" s="19" t="n"/>
      <c r="B201" s="19" t="n"/>
      <c r="C201" s="19" t="n"/>
      <c r="D201" s="19" t="n"/>
      <c r="E201" s="19" t="n"/>
    </row>
    <row r="202">
      <c r="A202" s="19" t="n"/>
      <c r="B202" s="19" t="n"/>
      <c r="C202" s="19" t="n"/>
      <c r="D202" s="19" t="n"/>
      <c r="E202" s="19" t="n"/>
    </row>
    <row r="203">
      <c r="A203" s="19" t="n"/>
      <c r="B203" s="19" t="n"/>
      <c r="C203" s="19" t="n"/>
      <c r="D203" s="19" t="n"/>
      <c r="E203" s="19" t="n"/>
    </row>
    <row r="204">
      <c r="A204" s="19" t="n"/>
      <c r="B204" s="19" t="n"/>
      <c r="C204" s="19" t="n"/>
      <c r="D204" s="19" t="n"/>
      <c r="E204" s="19" t="n"/>
    </row>
    <row r="205">
      <c r="A205" s="19" t="n"/>
      <c r="B205" s="19" t="n"/>
      <c r="C205" s="19" t="n"/>
      <c r="D205" s="19" t="n"/>
      <c r="E205" s="19" t="n"/>
    </row>
    <row r="206">
      <c r="A206" s="19" t="n"/>
      <c r="B206" s="19" t="n"/>
      <c r="C206" s="19" t="n"/>
      <c r="D206" s="19" t="n"/>
      <c r="E206" s="19" t="n"/>
    </row>
    <row r="207">
      <c r="A207" s="19" t="n"/>
      <c r="B207" s="19" t="n"/>
      <c r="C207" s="19" t="n"/>
      <c r="D207" s="19" t="n"/>
      <c r="E207" s="19" t="n"/>
    </row>
    <row r="208">
      <c r="A208" s="19" t="n"/>
      <c r="B208" s="19" t="n"/>
      <c r="C208" s="19" t="n"/>
      <c r="D208" s="19" t="n"/>
      <c r="E208" s="19" t="n"/>
    </row>
    <row r="209">
      <c r="A209" s="19" t="n"/>
      <c r="B209" s="19" t="n"/>
      <c r="C209" s="19" t="n"/>
      <c r="D209" s="19" t="n"/>
      <c r="E209" s="19" t="n"/>
    </row>
    <row r="210">
      <c r="A210" s="19" t="n"/>
      <c r="B210" s="19" t="n"/>
      <c r="C210" s="19" t="n"/>
      <c r="D210" s="19" t="n"/>
      <c r="E210" s="19" t="n"/>
    </row>
    <row r="211">
      <c r="A211" s="19" t="n"/>
      <c r="B211" s="19" t="n"/>
      <c r="C211" s="19" t="n"/>
      <c r="D211" s="19" t="n"/>
      <c r="E211" s="19" t="n"/>
    </row>
    <row r="212">
      <c r="A212" s="19" t="n"/>
      <c r="B212" s="19" t="n"/>
      <c r="C212" s="19" t="n"/>
      <c r="D212" s="19" t="n"/>
      <c r="E212" s="19" t="n"/>
    </row>
    <row r="213">
      <c r="A213" s="19" t="n"/>
      <c r="B213" s="19" t="n"/>
      <c r="C213" s="19" t="n"/>
      <c r="D213" s="19" t="n"/>
      <c r="E213" s="19" t="n"/>
    </row>
    <row r="214">
      <c r="A214" s="19" t="n"/>
      <c r="B214" s="19" t="n"/>
      <c r="C214" s="19" t="n"/>
      <c r="D214" s="19" t="n"/>
      <c r="E214" s="19" t="n"/>
    </row>
    <row r="215">
      <c r="A215" s="19" t="n"/>
      <c r="B215" s="19" t="n"/>
      <c r="C215" s="19" t="n"/>
      <c r="D215" s="19" t="n"/>
      <c r="E215" s="19" t="n"/>
    </row>
    <row r="216">
      <c r="A216" s="19" t="n"/>
      <c r="B216" s="19" t="n"/>
      <c r="C216" s="19" t="n"/>
      <c r="D216" s="19" t="n"/>
      <c r="E216" s="19" t="n"/>
    </row>
    <row r="217">
      <c r="A217" s="19" t="n"/>
      <c r="B217" s="19" t="n"/>
      <c r="C217" s="19" t="n"/>
      <c r="D217" s="19" t="n"/>
      <c r="E217" s="19" t="n"/>
    </row>
    <row r="218">
      <c r="A218" s="19" t="n"/>
      <c r="B218" s="19" t="n"/>
      <c r="C218" s="19" t="n"/>
      <c r="D218" s="19" t="n"/>
      <c r="E218" s="19" t="n"/>
    </row>
    <row r="219">
      <c r="A219" s="19" t="n"/>
      <c r="B219" s="19" t="n"/>
      <c r="C219" s="19" t="n"/>
      <c r="D219" s="19" t="n"/>
      <c r="E219" s="19" t="n"/>
    </row>
    <row r="220">
      <c r="A220" s="19" t="n"/>
      <c r="B220" s="19" t="n"/>
      <c r="C220" s="19" t="n"/>
      <c r="D220" s="19" t="n"/>
      <c r="E220" s="19" t="n"/>
    </row>
    <row r="221">
      <c r="A221" s="19" t="n"/>
      <c r="B221" s="19" t="n"/>
      <c r="C221" s="19" t="n"/>
      <c r="D221" s="19" t="n"/>
      <c r="E221" s="19" t="n"/>
    </row>
    <row r="222">
      <c r="A222" s="19" t="n"/>
      <c r="B222" s="19" t="n"/>
      <c r="C222" s="19" t="n"/>
      <c r="D222" s="19" t="n"/>
      <c r="E222" s="19" t="n"/>
    </row>
    <row r="223">
      <c r="A223" s="19" t="n"/>
      <c r="B223" s="19" t="n"/>
      <c r="C223" s="19" t="n"/>
      <c r="D223" s="19" t="n"/>
      <c r="E223" s="19" t="n"/>
    </row>
    <row r="224">
      <c r="A224" s="19" t="n"/>
      <c r="B224" s="19" t="n"/>
      <c r="C224" s="19" t="n"/>
      <c r="D224" s="19" t="n"/>
      <c r="E224" s="19" t="n"/>
    </row>
    <row r="225">
      <c r="A225" s="19" t="n"/>
      <c r="B225" s="19" t="n"/>
      <c r="C225" s="19" t="n"/>
      <c r="D225" s="19" t="n"/>
      <c r="E225" s="19" t="n"/>
    </row>
    <row r="226">
      <c r="A226" s="19" t="n"/>
      <c r="B226" s="19" t="n"/>
      <c r="C226" s="19" t="n"/>
      <c r="D226" s="19" t="n"/>
      <c r="E226" s="19" t="n"/>
    </row>
    <row r="227">
      <c r="A227" s="19" t="n"/>
      <c r="B227" s="19" t="n"/>
      <c r="C227" s="19" t="n"/>
      <c r="D227" s="19" t="n"/>
      <c r="E227" s="19" t="n"/>
    </row>
    <row r="228">
      <c r="A228" s="19" t="n"/>
      <c r="B228" s="19" t="n"/>
      <c r="C228" s="19" t="n"/>
      <c r="D228" s="19" t="n"/>
      <c r="E228" s="19" t="n"/>
    </row>
    <row r="229">
      <c r="A229" s="19" t="n"/>
      <c r="B229" s="19" t="n"/>
      <c r="C229" s="19" t="n"/>
      <c r="D229" s="19" t="n"/>
      <c r="E229" s="19" t="n"/>
    </row>
    <row r="230">
      <c r="A230" s="19" t="n"/>
      <c r="B230" s="19" t="n"/>
      <c r="C230" s="19" t="n"/>
      <c r="D230" s="19" t="n"/>
      <c r="E230" s="19" t="n"/>
    </row>
    <row r="231">
      <c r="A231" s="19" t="n"/>
      <c r="B231" s="19" t="n"/>
      <c r="C231" s="19" t="n"/>
      <c r="D231" s="19" t="n"/>
      <c r="E231" s="19" t="n"/>
    </row>
    <row r="232">
      <c r="A232" s="19" t="n"/>
      <c r="B232" s="19" t="n"/>
      <c r="C232" s="19" t="n"/>
      <c r="D232" s="19" t="n"/>
      <c r="E232" s="19" t="n"/>
    </row>
    <row r="233">
      <c r="A233" s="19" t="n"/>
      <c r="B233" s="19" t="n"/>
      <c r="C233" s="19" t="n"/>
      <c r="D233" s="19" t="n"/>
      <c r="E233" s="19" t="n"/>
    </row>
    <row r="234">
      <c r="A234" s="19" t="n"/>
      <c r="B234" s="19" t="n"/>
      <c r="C234" s="19" t="n"/>
      <c r="D234" s="19" t="n"/>
      <c r="E234" s="19" t="n"/>
    </row>
    <row r="235">
      <c r="A235" s="19" t="n"/>
      <c r="B235" s="19" t="n"/>
      <c r="C235" s="19" t="n"/>
      <c r="D235" s="19" t="n"/>
      <c r="E235" s="19" t="n"/>
    </row>
    <row r="236">
      <c r="A236" s="19" t="n"/>
      <c r="B236" s="19" t="n"/>
      <c r="C236" s="19" t="n"/>
      <c r="D236" s="19" t="n"/>
      <c r="E236" s="19" t="n"/>
    </row>
    <row r="237">
      <c r="A237" s="19" t="n"/>
      <c r="B237" s="19" t="n"/>
      <c r="C237" s="19" t="n"/>
      <c r="D237" s="19" t="n"/>
      <c r="E237" s="19" t="n"/>
    </row>
    <row r="238">
      <c r="A238" s="19" t="n"/>
      <c r="B238" s="19" t="n"/>
      <c r="C238" s="19" t="n"/>
      <c r="D238" s="19" t="n"/>
      <c r="E238" s="19" t="n"/>
    </row>
    <row r="239">
      <c r="A239" s="19" t="n"/>
      <c r="B239" s="19" t="n"/>
      <c r="C239" s="19" t="n"/>
      <c r="D239" s="19" t="n"/>
      <c r="E239" s="19" t="n"/>
    </row>
    <row r="240">
      <c r="A240" s="19" t="n"/>
      <c r="B240" s="19" t="n"/>
      <c r="C240" s="19" t="n"/>
      <c r="D240" s="19" t="n"/>
      <c r="E240" s="19" t="n"/>
    </row>
    <row r="241">
      <c r="A241" s="19" t="n"/>
      <c r="B241" s="19" t="n"/>
      <c r="C241" s="19" t="n"/>
      <c r="D241" s="19" t="n"/>
      <c r="E241" s="19" t="n"/>
    </row>
    <row r="242">
      <c r="A242" s="19" t="n"/>
      <c r="B242" s="19" t="n"/>
      <c r="C242" s="19" t="n"/>
      <c r="D242" s="19" t="n"/>
      <c r="E242" s="19" t="n"/>
    </row>
    <row r="243">
      <c r="A243" s="19" t="n"/>
      <c r="B243" s="19" t="n"/>
      <c r="C243" s="19" t="n"/>
      <c r="D243" s="19" t="n"/>
      <c r="E243" s="19" t="n"/>
    </row>
    <row r="244">
      <c r="A244" s="19" t="n"/>
      <c r="B244" s="19" t="n"/>
      <c r="C244" s="19" t="n"/>
      <c r="D244" s="19" t="n"/>
      <c r="E244" s="19" t="n"/>
    </row>
    <row r="245">
      <c r="A245" s="19" t="n"/>
      <c r="B245" s="19" t="n"/>
      <c r="C245" s="19" t="n"/>
      <c r="D245" s="19" t="n"/>
      <c r="E245" s="19" t="n"/>
    </row>
    <row r="246">
      <c r="A246" s="19" t="n"/>
      <c r="B246" s="19" t="n"/>
      <c r="C246" s="19" t="n"/>
      <c r="D246" s="19" t="n"/>
      <c r="E246" s="19" t="n"/>
    </row>
    <row r="247">
      <c r="A247" s="19" t="n"/>
      <c r="B247" s="19" t="n"/>
      <c r="C247" s="19" t="n"/>
      <c r="D247" s="19" t="n"/>
      <c r="E247" s="19" t="n"/>
    </row>
    <row r="248">
      <c r="A248" s="19" t="n"/>
      <c r="B248" s="19" t="n"/>
      <c r="C248" s="19" t="n"/>
      <c r="D248" s="19" t="n"/>
      <c r="E248" s="19" t="n"/>
    </row>
    <row r="249">
      <c r="A249" s="19" t="n"/>
      <c r="B249" s="19" t="n"/>
      <c r="C249" s="19" t="n"/>
      <c r="D249" s="19" t="n"/>
      <c r="E249" s="19" t="n"/>
    </row>
    <row r="250">
      <c r="A250" s="19" t="n"/>
      <c r="B250" s="19" t="n"/>
      <c r="C250" s="19" t="n"/>
      <c r="D250" s="19" t="n"/>
      <c r="E250" s="19" t="n"/>
    </row>
    <row r="251">
      <c r="A251" s="19" t="n"/>
      <c r="B251" s="19" t="n"/>
      <c r="C251" s="19" t="n"/>
      <c r="D251" s="19" t="n"/>
      <c r="E251" s="19" t="n"/>
    </row>
    <row r="252">
      <c r="A252" s="19" t="n"/>
      <c r="B252" s="19" t="n"/>
      <c r="C252" s="19" t="n"/>
      <c r="D252" s="19" t="n"/>
      <c r="E252" s="19" t="n"/>
    </row>
    <row r="253">
      <c r="A253" s="19" t="n"/>
      <c r="B253" s="19" t="n"/>
      <c r="C253" s="19" t="n"/>
      <c r="D253" s="19" t="n"/>
      <c r="E253" s="19" t="n"/>
    </row>
    <row r="254">
      <c r="A254" s="19" t="n"/>
      <c r="B254" s="19" t="n"/>
      <c r="C254" s="19" t="n"/>
      <c r="D254" s="19" t="n"/>
      <c r="E254" s="19" t="n"/>
    </row>
    <row r="255">
      <c r="A255" s="19" t="n"/>
      <c r="B255" s="19" t="n"/>
      <c r="C255" s="19" t="n"/>
      <c r="D255" s="19" t="n"/>
      <c r="E255" s="19" t="n"/>
    </row>
    <row r="256">
      <c r="A256" s="19" t="n"/>
      <c r="B256" s="19" t="n"/>
      <c r="C256" s="19" t="n"/>
      <c r="D256" s="19" t="n"/>
      <c r="E256" s="19" t="n"/>
    </row>
    <row r="257">
      <c r="A257" s="19" t="n"/>
      <c r="B257" s="19" t="n"/>
      <c r="C257" s="19" t="n"/>
      <c r="D257" s="19" t="n"/>
      <c r="E257" s="19" t="n"/>
    </row>
    <row r="258">
      <c r="A258" s="19" t="n"/>
      <c r="B258" s="19" t="n"/>
      <c r="C258" s="19" t="n"/>
      <c r="D258" s="19" t="n"/>
      <c r="E258" s="19" t="n"/>
    </row>
    <row r="259">
      <c r="A259" s="19" t="n"/>
      <c r="B259" s="19" t="n"/>
      <c r="C259" s="19" t="n"/>
      <c r="D259" s="19" t="n"/>
      <c r="E259" s="19" t="n"/>
    </row>
    <row r="260">
      <c r="A260" s="19" t="n"/>
      <c r="B260" s="19" t="n"/>
      <c r="C260" s="19" t="n"/>
      <c r="D260" s="19" t="n"/>
      <c r="E260" s="19" t="n"/>
    </row>
    <row r="261">
      <c r="A261" s="19" t="n"/>
      <c r="B261" s="19" t="n"/>
      <c r="C261" s="19" t="n"/>
      <c r="D261" s="19" t="n"/>
      <c r="E261" s="19" t="n"/>
    </row>
    <row r="262">
      <c r="A262" s="19" t="n"/>
      <c r="B262" s="19" t="n"/>
      <c r="C262" s="19" t="n"/>
      <c r="D262" s="19" t="n"/>
      <c r="E262" s="19" t="n"/>
    </row>
    <row r="263">
      <c r="A263" s="19" t="n"/>
      <c r="B263" s="19" t="n"/>
      <c r="C263" s="19" t="n"/>
      <c r="D263" s="19" t="n"/>
      <c r="E263" s="19" t="n"/>
    </row>
    <row r="264">
      <c r="A264" s="19" t="n"/>
      <c r="B264" s="19" t="n"/>
      <c r="C264" s="19" t="n"/>
      <c r="D264" s="19" t="n"/>
      <c r="E264" s="19" t="n"/>
    </row>
    <row r="265">
      <c r="A265" s="19" t="n"/>
      <c r="B265" s="19" t="n"/>
      <c r="C265" s="19" t="n"/>
      <c r="D265" s="19" t="n"/>
      <c r="E265" s="19" t="n"/>
    </row>
    <row r="266">
      <c r="A266" s="19" t="n"/>
      <c r="B266" s="19" t="n"/>
      <c r="C266" s="19" t="n"/>
      <c r="D266" s="19" t="n"/>
      <c r="E266" s="19" t="n"/>
    </row>
    <row r="267">
      <c r="A267" s="19" t="n"/>
      <c r="B267" s="19" t="n"/>
      <c r="C267" s="19" t="n"/>
      <c r="D267" s="19" t="n"/>
      <c r="E267" s="19" t="n"/>
    </row>
    <row r="268">
      <c r="A268" s="19" t="n"/>
      <c r="B268" s="19" t="n"/>
      <c r="C268" s="19" t="n"/>
      <c r="D268" s="19" t="n"/>
      <c r="E268" s="19" t="n"/>
    </row>
    <row r="269">
      <c r="A269" s="19" t="n"/>
      <c r="B269" s="19" t="n"/>
      <c r="C269" s="19" t="n"/>
      <c r="D269" s="19" t="n"/>
      <c r="E269" s="19" t="n"/>
    </row>
    <row r="270">
      <c r="A270" s="19" t="n"/>
      <c r="B270" s="19" t="n"/>
      <c r="C270" s="19" t="n"/>
      <c r="D270" s="19" t="n"/>
      <c r="E270" s="19" t="n"/>
    </row>
    <row r="271">
      <c r="A271" s="19" t="n"/>
      <c r="B271" s="19" t="n"/>
      <c r="C271" s="19" t="n"/>
      <c r="D271" s="19" t="n"/>
      <c r="E271" s="19" t="n"/>
    </row>
    <row r="272">
      <c r="A272" s="19" t="n"/>
      <c r="B272" s="19" t="n"/>
      <c r="C272" s="19" t="n"/>
      <c r="D272" s="19" t="n"/>
      <c r="E272" s="19" t="n"/>
    </row>
    <row r="273">
      <c r="A273" s="19" t="n"/>
      <c r="B273" s="19" t="n"/>
      <c r="C273" s="19" t="n"/>
      <c r="D273" s="19" t="n"/>
      <c r="E273" s="19" t="n"/>
    </row>
    <row r="274">
      <c r="A274" s="19" t="n"/>
      <c r="B274" s="19" t="n"/>
      <c r="C274" s="19" t="n"/>
      <c r="D274" s="19" t="n"/>
      <c r="E274" s="19" t="n"/>
    </row>
    <row r="275">
      <c r="A275" s="19" t="n"/>
      <c r="B275" s="19" t="n"/>
      <c r="C275" s="19" t="n"/>
      <c r="D275" s="19" t="n"/>
      <c r="E275" s="19" t="n"/>
    </row>
    <row r="276">
      <c r="A276" s="19" t="n"/>
      <c r="B276" s="19" t="n"/>
      <c r="C276" s="19" t="n"/>
      <c r="D276" s="19" t="n"/>
      <c r="E276" s="19" t="n"/>
    </row>
    <row r="277">
      <c r="A277" s="19" t="n"/>
      <c r="B277" s="19" t="n"/>
      <c r="C277" s="19" t="n"/>
      <c r="D277" s="19" t="n"/>
      <c r="E277" s="19" t="n"/>
    </row>
    <row r="278">
      <c r="A278" s="19" t="n"/>
      <c r="B278" s="19" t="n"/>
      <c r="C278" s="19" t="n"/>
      <c r="D278" s="19" t="n"/>
      <c r="E278" s="19" t="n"/>
    </row>
    <row r="279">
      <c r="A279" s="19" t="n"/>
      <c r="B279" s="19" t="n"/>
      <c r="C279" s="19" t="n"/>
      <c r="D279" s="19" t="n"/>
      <c r="E279" s="19" t="n"/>
    </row>
    <row r="280">
      <c r="A280" s="19" t="n"/>
      <c r="B280" s="19" t="n"/>
      <c r="C280" s="19" t="n"/>
      <c r="D280" s="19" t="n"/>
      <c r="E280" s="19" t="n"/>
    </row>
    <row r="281">
      <c r="A281" s="19" t="n"/>
      <c r="B281" s="19" t="n"/>
      <c r="C281" s="19" t="n"/>
      <c r="D281" s="19" t="n"/>
      <c r="E281" s="19" t="n"/>
    </row>
    <row r="282">
      <c r="A282" s="19" t="n"/>
      <c r="B282" s="19" t="n"/>
      <c r="C282" s="19" t="n"/>
      <c r="D282" s="19" t="n"/>
      <c r="E282" s="19" t="n"/>
    </row>
    <row r="283">
      <c r="A283" s="19" t="n"/>
      <c r="B283" s="19" t="n"/>
      <c r="C283" s="19" t="n"/>
      <c r="D283" s="19" t="n"/>
      <c r="E283" s="19" t="n"/>
    </row>
    <row r="284">
      <c r="A284" s="19" t="n"/>
      <c r="B284" s="19" t="n"/>
      <c r="C284" s="19" t="n"/>
      <c r="D284" s="19" t="n"/>
      <c r="E284" s="19" t="n"/>
    </row>
    <row r="285">
      <c r="A285" s="19" t="n"/>
      <c r="B285" s="19" t="n"/>
      <c r="C285" s="19" t="n"/>
      <c r="D285" s="19" t="n"/>
      <c r="E285" s="19" t="n"/>
    </row>
    <row r="286">
      <c r="A286" s="19" t="n"/>
      <c r="B286" s="19" t="n"/>
      <c r="C286" s="19" t="n"/>
      <c r="D286" s="19" t="n"/>
      <c r="E286" s="19" t="n"/>
    </row>
    <row r="287">
      <c r="A287" s="19" t="n"/>
      <c r="B287" s="19" t="n"/>
      <c r="C287" s="19" t="n"/>
      <c r="D287" s="19" t="n"/>
      <c r="E287" s="19" t="n"/>
    </row>
    <row r="288">
      <c r="A288" s="19" t="n"/>
      <c r="B288" s="19" t="n"/>
      <c r="C288" s="19" t="n"/>
      <c r="D288" s="19" t="n"/>
      <c r="E288" s="19" t="n"/>
    </row>
    <row r="289">
      <c r="A289" s="19" t="n"/>
      <c r="B289" s="19" t="n"/>
      <c r="C289" s="19" t="n"/>
      <c r="D289" s="19" t="n"/>
      <c r="E289" s="19" t="n"/>
    </row>
    <row r="290">
      <c r="A290" s="19" t="n"/>
      <c r="B290" s="19" t="n"/>
      <c r="C290" s="19" t="n"/>
      <c r="D290" s="19" t="n"/>
      <c r="E290" s="19" t="n"/>
    </row>
    <row r="291">
      <c r="A291" s="19" t="n"/>
      <c r="B291" s="19" t="n"/>
      <c r="C291" s="19" t="n"/>
      <c r="D291" s="19" t="n"/>
      <c r="E291" s="19" t="n"/>
    </row>
    <row r="292">
      <c r="A292" s="19" t="n"/>
      <c r="B292" s="19" t="n"/>
      <c r="C292" s="19" t="n"/>
      <c r="D292" s="19" t="n"/>
      <c r="E292" s="19" t="n"/>
    </row>
    <row r="293">
      <c r="A293" s="19" t="n"/>
      <c r="B293" s="19" t="n"/>
      <c r="C293" s="19" t="n"/>
      <c r="D293" s="19" t="n"/>
      <c r="E293" s="19" t="n"/>
    </row>
    <row r="294">
      <c r="A294" s="19" t="n"/>
      <c r="B294" s="19" t="n"/>
      <c r="C294" s="19" t="n"/>
      <c r="D294" s="19" t="n"/>
      <c r="E294" s="19" t="n"/>
    </row>
    <row r="295">
      <c r="A295" s="19" t="n"/>
      <c r="B295" s="19" t="n"/>
      <c r="C295" s="19" t="n"/>
      <c r="D295" s="19" t="n"/>
      <c r="E295" s="19" t="n"/>
    </row>
    <row r="296">
      <c r="A296" s="19" t="n"/>
      <c r="B296" s="19" t="n"/>
      <c r="C296" s="19" t="n"/>
      <c r="D296" s="19" t="n"/>
      <c r="E296" s="19" t="n"/>
    </row>
    <row r="297">
      <c r="A297" s="19" t="n"/>
      <c r="B297" s="19" t="n"/>
      <c r="C297" s="19" t="n"/>
      <c r="D297" s="19" t="n"/>
      <c r="E297" s="19" t="n"/>
    </row>
    <row r="298">
      <c r="A298" s="19" t="n"/>
      <c r="B298" s="19" t="n"/>
      <c r="C298" s="19" t="n"/>
      <c r="D298" s="19" t="n"/>
      <c r="E298" s="19" t="n"/>
    </row>
    <row r="299">
      <c r="A299" s="19" t="n"/>
      <c r="B299" s="19" t="n"/>
      <c r="C299" s="19" t="n"/>
      <c r="D299" s="19" t="n"/>
      <c r="E299" s="19" t="n"/>
    </row>
    <row r="300">
      <c r="A300" s="19" t="n"/>
      <c r="B300" s="19" t="n"/>
      <c r="C300" s="19" t="n"/>
      <c r="D300" s="19" t="n"/>
      <c r="E300" s="19" t="n"/>
    </row>
    <row r="301">
      <c r="A301" s="19" t="n"/>
      <c r="B301" s="19" t="n"/>
      <c r="C301" s="19" t="n"/>
      <c r="D301" s="19" t="n"/>
      <c r="E301" s="19" t="n"/>
    </row>
    <row r="302">
      <c r="A302" s="19" t="n"/>
      <c r="B302" s="19" t="n"/>
      <c r="C302" s="19" t="n"/>
      <c r="D302" s="19" t="n"/>
      <c r="E302" s="19" t="n"/>
    </row>
    <row r="303">
      <c r="A303" s="19" t="n"/>
      <c r="B303" s="19" t="n"/>
      <c r="C303" s="19" t="n"/>
      <c r="D303" s="19" t="n"/>
      <c r="E303" s="19" t="n"/>
    </row>
    <row r="304">
      <c r="A304" s="19" t="n"/>
      <c r="B304" s="19" t="n"/>
      <c r="C304" s="19" t="n"/>
      <c r="D304" s="19" t="n"/>
      <c r="E304" s="19" t="n"/>
    </row>
    <row r="305">
      <c r="A305" s="19" t="n"/>
      <c r="B305" s="19" t="n"/>
      <c r="C305" s="19" t="n"/>
      <c r="D305" s="19" t="n"/>
      <c r="E305" s="19" t="n"/>
    </row>
    <row r="306">
      <c r="A306" s="19" t="n"/>
      <c r="B306" s="19" t="n"/>
      <c r="C306" s="19" t="n"/>
      <c r="D306" s="19" t="n"/>
      <c r="E306" s="19" t="n"/>
    </row>
    <row r="307">
      <c r="A307" s="19" t="n"/>
      <c r="B307" s="19" t="n"/>
      <c r="C307" s="19" t="n"/>
      <c r="D307" s="19" t="n"/>
      <c r="E307" s="19" t="n"/>
    </row>
    <row r="308">
      <c r="A308" s="19" t="n"/>
      <c r="B308" s="19" t="n"/>
      <c r="C308" s="19" t="n"/>
      <c r="D308" s="19" t="n"/>
      <c r="E308" s="19" t="n"/>
    </row>
    <row r="309">
      <c r="A309" s="19" t="n"/>
      <c r="B309" s="19" t="n"/>
      <c r="C309" s="19" t="n"/>
      <c r="D309" s="19" t="n"/>
      <c r="E309" s="19" t="n"/>
    </row>
    <row r="310">
      <c r="A310" s="19" t="n"/>
      <c r="B310" s="19" t="n"/>
      <c r="C310" s="19" t="n"/>
      <c r="D310" s="19" t="n"/>
      <c r="E310" s="19" t="n"/>
    </row>
    <row r="311">
      <c r="A311" s="19" t="n"/>
      <c r="B311" s="19" t="n"/>
      <c r="C311" s="19" t="n"/>
      <c r="D311" s="19" t="n"/>
      <c r="E311" s="19" t="n"/>
    </row>
    <row r="312">
      <c r="A312" s="19" t="n"/>
      <c r="B312" s="19" t="n"/>
      <c r="C312" s="19" t="n"/>
      <c r="D312" s="19" t="n"/>
      <c r="E312" s="19" t="n"/>
    </row>
    <row r="313">
      <c r="A313" s="19" t="n"/>
      <c r="B313" s="19" t="n"/>
      <c r="C313" s="19" t="n"/>
      <c r="D313" s="19" t="n"/>
      <c r="E313" s="19" t="n"/>
    </row>
    <row r="314">
      <c r="A314" s="19" t="n"/>
      <c r="B314" s="19" t="n"/>
      <c r="C314" s="19" t="n"/>
      <c r="D314" s="19" t="n"/>
      <c r="E314" s="19" t="n"/>
    </row>
    <row r="315">
      <c r="A315" s="19" t="n"/>
      <c r="B315" s="19" t="n"/>
      <c r="C315" s="19" t="n"/>
      <c r="D315" s="19" t="n"/>
      <c r="E315" s="19" t="n"/>
    </row>
    <row r="316">
      <c r="A316" s="19" t="n"/>
      <c r="B316" s="19" t="n"/>
      <c r="C316" s="19" t="n"/>
      <c r="D316" s="19" t="n"/>
      <c r="E316" s="19" t="n"/>
    </row>
    <row r="317">
      <c r="A317" s="19" t="n"/>
      <c r="B317" s="19" t="n"/>
      <c r="C317" s="19" t="n"/>
      <c r="D317" s="19" t="n"/>
      <c r="E317" s="19" t="n"/>
    </row>
    <row r="318">
      <c r="A318" s="19" t="n"/>
      <c r="B318" s="19" t="n"/>
      <c r="C318" s="19" t="n"/>
      <c r="D318" s="19" t="n"/>
      <c r="E318" s="19" t="n"/>
    </row>
    <row r="319">
      <c r="A319" s="19" t="n"/>
      <c r="B319" s="19" t="n"/>
      <c r="C319" s="19" t="n"/>
      <c r="D319" s="19" t="n"/>
      <c r="E319" s="19" t="n"/>
    </row>
    <row r="320">
      <c r="A320" s="19" t="n"/>
      <c r="B320" s="19" t="n"/>
      <c r="C320" s="19" t="n"/>
      <c r="D320" s="19" t="n"/>
      <c r="E320" s="19" t="n"/>
    </row>
    <row r="321">
      <c r="A321" s="19" t="n"/>
      <c r="B321" s="19" t="n"/>
      <c r="C321" s="19" t="n"/>
      <c r="D321" s="19" t="n"/>
      <c r="E321" s="19" t="n"/>
    </row>
    <row r="322">
      <c r="A322" s="19" t="n"/>
      <c r="B322" s="19" t="n"/>
      <c r="C322" s="19" t="n"/>
      <c r="D322" s="19" t="n"/>
      <c r="E322" s="19" t="n"/>
    </row>
    <row r="323">
      <c r="A323" s="19" t="n"/>
      <c r="B323" s="19" t="n"/>
      <c r="C323" s="19" t="n"/>
      <c r="D323" s="19" t="n"/>
      <c r="E323" s="19" t="n"/>
    </row>
    <row r="324">
      <c r="A324" s="19" t="n"/>
      <c r="B324" s="19" t="n"/>
      <c r="C324" s="19" t="n"/>
      <c r="D324" s="19" t="n"/>
      <c r="E324" s="19" t="n"/>
    </row>
    <row r="325">
      <c r="A325" s="19" t="n"/>
      <c r="B325" s="19" t="n"/>
      <c r="C325" s="19" t="n"/>
      <c r="D325" s="19" t="n"/>
      <c r="E325" s="19" t="n"/>
    </row>
    <row r="326">
      <c r="A326" s="19" t="n"/>
      <c r="B326" s="19" t="n"/>
      <c r="C326" s="19" t="n"/>
      <c r="D326" s="19" t="n"/>
      <c r="E326" s="19" t="n"/>
    </row>
    <row r="327">
      <c r="A327" s="19" t="n"/>
      <c r="B327" s="19" t="n"/>
      <c r="C327" s="19" t="n"/>
      <c r="D327" s="19" t="n"/>
      <c r="E327" s="19" t="n"/>
    </row>
    <row r="328">
      <c r="A328" s="19" t="n"/>
      <c r="B328" s="19" t="n"/>
      <c r="C328" s="19" t="n"/>
      <c r="D328" s="19" t="n"/>
      <c r="E328" s="19" t="n"/>
    </row>
    <row r="329">
      <c r="A329" s="19" t="n"/>
      <c r="B329" s="19" t="n"/>
      <c r="C329" s="19" t="n"/>
      <c r="D329" s="19" t="n"/>
      <c r="E329" s="19" t="n"/>
    </row>
    <row r="330">
      <c r="A330" s="19" t="n"/>
      <c r="B330" s="19" t="n"/>
      <c r="C330" s="19" t="n"/>
      <c r="D330" s="19" t="n"/>
      <c r="E330" s="19" t="n"/>
    </row>
    <row r="331">
      <c r="A331" s="19" t="n"/>
      <c r="B331" s="19" t="n"/>
      <c r="C331" s="19" t="n"/>
      <c r="D331" s="19" t="n"/>
      <c r="E331" s="19" t="n"/>
    </row>
    <row r="332">
      <c r="A332" s="19" t="n"/>
      <c r="B332" s="19" t="n"/>
      <c r="C332" s="19" t="n"/>
      <c r="D332" s="19" t="n"/>
      <c r="E332" s="19" t="n"/>
    </row>
    <row r="333">
      <c r="A333" s="19" t="n"/>
      <c r="B333" s="19" t="n"/>
      <c r="C333" s="19" t="n"/>
      <c r="D333" s="19" t="n"/>
      <c r="E333" s="19" t="n"/>
    </row>
    <row r="334">
      <c r="A334" s="19" t="n"/>
      <c r="B334" s="19" t="n"/>
      <c r="C334" s="19" t="n"/>
      <c r="D334" s="19" t="n"/>
      <c r="E334" s="19" t="n"/>
    </row>
    <row r="335">
      <c r="A335" s="19" t="n"/>
      <c r="B335" s="19" t="n"/>
      <c r="C335" s="19" t="n"/>
      <c r="D335" s="19" t="n"/>
      <c r="E335" s="19" t="n"/>
    </row>
    <row r="336">
      <c r="A336" s="19" t="n"/>
      <c r="B336" s="19" t="n"/>
      <c r="C336" s="19" t="n"/>
      <c r="D336" s="19" t="n"/>
      <c r="E336" s="19" t="n"/>
    </row>
    <row r="337">
      <c r="A337" s="19" t="n"/>
      <c r="B337" s="19" t="n"/>
      <c r="C337" s="19" t="n"/>
      <c r="D337" s="19" t="n"/>
      <c r="E337" s="19" t="n"/>
    </row>
    <row r="338">
      <c r="A338" s="19" t="n"/>
      <c r="B338" s="19" t="n"/>
      <c r="C338" s="19" t="n"/>
      <c r="D338" s="19" t="n"/>
      <c r="E338" s="19" t="n"/>
    </row>
    <row r="339">
      <c r="A339" s="19" t="n"/>
      <c r="B339" s="19" t="n"/>
      <c r="C339" s="19" t="n"/>
      <c r="D339" s="19" t="n"/>
      <c r="E339" s="19" t="n"/>
    </row>
    <row r="340">
      <c r="A340" s="19" t="n"/>
      <c r="B340" s="19" t="n"/>
      <c r="C340" s="19" t="n"/>
      <c r="D340" s="19" t="n"/>
      <c r="E340" s="19" t="n"/>
    </row>
    <row r="341">
      <c r="A341" s="19" t="n"/>
      <c r="B341" s="19" t="n"/>
      <c r="C341" s="19" t="n"/>
      <c r="D341" s="19" t="n"/>
      <c r="E341" s="19" t="n"/>
    </row>
    <row r="342">
      <c r="A342" s="19" t="n"/>
      <c r="B342" s="19" t="n"/>
      <c r="C342" s="19" t="n"/>
      <c r="D342" s="19" t="n"/>
      <c r="E342" s="19" t="n"/>
    </row>
    <row r="343">
      <c r="A343" s="19" t="n"/>
      <c r="B343" s="19" t="n"/>
      <c r="C343" s="19" t="n"/>
      <c r="D343" s="19" t="n"/>
      <c r="E343" s="19" t="n"/>
    </row>
    <row r="344">
      <c r="A344" s="19" t="n"/>
      <c r="B344" s="19" t="n"/>
      <c r="C344" s="19" t="n"/>
      <c r="D344" s="19" t="n"/>
      <c r="E344" s="19" t="n"/>
    </row>
    <row r="345">
      <c r="A345" s="19" t="n"/>
      <c r="B345" s="19" t="n"/>
      <c r="C345" s="19" t="n"/>
      <c r="D345" s="19" t="n"/>
      <c r="E345" s="19" t="n"/>
    </row>
    <row r="346">
      <c r="A346" s="19" t="n"/>
      <c r="B346" s="19" t="n"/>
      <c r="C346" s="19" t="n"/>
      <c r="D346" s="19" t="n"/>
      <c r="E346" s="19" t="n"/>
    </row>
    <row r="347">
      <c r="A347" s="19" t="n"/>
      <c r="B347" s="19" t="n"/>
      <c r="C347" s="19" t="n"/>
      <c r="D347" s="19" t="n"/>
      <c r="E347" s="19" t="n"/>
    </row>
    <row r="348">
      <c r="A348" s="19" t="n"/>
      <c r="B348" s="19" t="n"/>
      <c r="C348" s="19" t="n"/>
      <c r="D348" s="19" t="n"/>
      <c r="E348" s="19" t="n"/>
    </row>
    <row r="349">
      <c r="A349" s="19" t="n"/>
      <c r="B349" s="19" t="n"/>
      <c r="C349" s="19" t="n"/>
      <c r="D349" s="19" t="n"/>
      <c r="E349" s="19" t="n"/>
    </row>
    <row r="350">
      <c r="A350" s="19" t="n"/>
      <c r="B350" s="19" t="n"/>
      <c r="C350" s="19" t="n"/>
      <c r="D350" s="19" t="n"/>
      <c r="E350" s="19" t="n"/>
    </row>
    <row r="351">
      <c r="A351" s="19" t="n"/>
      <c r="B351" s="19" t="n"/>
      <c r="C351" s="19" t="n"/>
      <c r="D351" s="19" t="n"/>
      <c r="E351" s="19" t="n"/>
    </row>
    <row r="352">
      <c r="A352" s="19" t="n"/>
      <c r="B352" s="19" t="n"/>
      <c r="C352" s="19" t="n"/>
      <c r="D352" s="19" t="n"/>
      <c r="E352" s="19" t="n"/>
    </row>
    <row r="353">
      <c r="A353" s="19" t="n"/>
      <c r="B353" s="19" t="n"/>
      <c r="C353" s="19" t="n"/>
      <c r="D353" s="19" t="n"/>
      <c r="E353" s="19" t="n"/>
    </row>
    <row r="354">
      <c r="A354" s="19" t="n"/>
      <c r="B354" s="19" t="n"/>
      <c r="C354" s="19" t="n"/>
      <c r="D354" s="19" t="n"/>
      <c r="E354" s="19" t="n"/>
    </row>
    <row r="355">
      <c r="A355" s="19" t="n"/>
      <c r="B355" s="19" t="n"/>
      <c r="C355" s="19" t="n"/>
      <c r="D355" s="19" t="n"/>
      <c r="E355" s="19" t="n"/>
    </row>
    <row r="356">
      <c r="A356" s="19" t="n"/>
      <c r="B356" s="19" t="n"/>
      <c r="C356" s="19" t="n"/>
      <c r="D356" s="19" t="n"/>
      <c r="E356" s="19" t="n"/>
    </row>
    <row r="357">
      <c r="A357" s="19" t="n"/>
      <c r="B357" s="19" t="n"/>
      <c r="C357" s="19" t="n"/>
      <c r="D357" s="19" t="n"/>
      <c r="E357" s="19" t="n"/>
    </row>
    <row r="358">
      <c r="A358" s="19" t="n"/>
      <c r="B358" s="19" t="n"/>
      <c r="C358" s="19" t="n"/>
      <c r="D358" s="19" t="n"/>
      <c r="E358" s="19" t="n"/>
    </row>
    <row r="359">
      <c r="A359" s="19" t="n"/>
      <c r="B359" s="19" t="n"/>
      <c r="C359" s="19" t="n"/>
      <c r="D359" s="19" t="n"/>
      <c r="E359" s="19" t="n"/>
    </row>
    <row r="360">
      <c r="A360" s="19" t="n"/>
      <c r="B360" s="19" t="n"/>
      <c r="C360" s="19" t="n"/>
      <c r="D360" s="19" t="n"/>
      <c r="E360" s="19" t="n"/>
    </row>
    <row r="361">
      <c r="A361" s="19" t="n"/>
      <c r="B361" s="19" t="n"/>
      <c r="C361" s="19" t="n"/>
      <c r="D361" s="19" t="n"/>
      <c r="E361" s="19" t="n"/>
    </row>
    <row r="362">
      <c r="A362" s="19" t="n"/>
      <c r="B362" s="19" t="n"/>
      <c r="C362" s="19" t="n"/>
      <c r="D362" s="19" t="n"/>
      <c r="E362" s="19" t="n"/>
    </row>
    <row r="363">
      <c r="A363" s="19" t="n"/>
      <c r="B363" s="19" t="n"/>
      <c r="C363" s="19" t="n"/>
      <c r="D363" s="19" t="n"/>
      <c r="E363" s="19" t="n"/>
    </row>
    <row r="364">
      <c r="A364" s="19" t="n"/>
      <c r="B364" s="19" t="n"/>
      <c r="C364" s="19" t="n"/>
      <c r="D364" s="19" t="n"/>
      <c r="E364" s="19" t="n"/>
    </row>
    <row r="365">
      <c r="A365" s="19" t="n"/>
      <c r="B365" s="19" t="n"/>
      <c r="C365" s="19" t="n"/>
      <c r="D365" s="19" t="n"/>
      <c r="E365" s="19" t="n"/>
    </row>
    <row r="366">
      <c r="A366" s="19" t="n"/>
      <c r="B366" s="19" t="n"/>
      <c r="C366" s="19" t="n"/>
      <c r="D366" s="19" t="n"/>
      <c r="E366" s="19" t="n"/>
    </row>
    <row r="367">
      <c r="A367" s="19" t="n"/>
      <c r="B367" s="19" t="n"/>
      <c r="C367" s="19" t="n"/>
      <c r="D367" s="19" t="n"/>
      <c r="E367" s="19" t="n"/>
    </row>
    <row r="368">
      <c r="A368" s="19" t="n"/>
      <c r="B368" s="19" t="n"/>
      <c r="C368" s="19" t="n"/>
      <c r="D368" s="19" t="n"/>
      <c r="E368" s="19" t="n"/>
    </row>
    <row r="369">
      <c r="A369" s="19" t="n"/>
      <c r="B369" s="19" t="n"/>
      <c r="C369" s="19" t="n"/>
      <c r="D369" s="19" t="n"/>
      <c r="E369" s="19" t="n"/>
    </row>
    <row r="370">
      <c r="A370" s="19" t="n"/>
      <c r="B370" s="19" t="n"/>
      <c r="C370" s="19" t="n"/>
      <c r="D370" s="19" t="n"/>
      <c r="E370" s="19" t="n"/>
    </row>
    <row r="371">
      <c r="A371" s="19" t="n"/>
      <c r="B371" s="19" t="n"/>
      <c r="C371" s="19" t="n"/>
      <c r="D371" s="19" t="n"/>
      <c r="E371" s="19" t="n"/>
    </row>
    <row r="372">
      <c r="A372" s="19" t="n"/>
      <c r="B372" s="19" t="n"/>
      <c r="C372" s="19" t="n"/>
      <c r="D372" s="19" t="n"/>
      <c r="E372" s="19" t="n"/>
    </row>
    <row r="373">
      <c r="A373" s="19" t="n"/>
      <c r="B373" s="19" t="n"/>
      <c r="C373" s="19" t="n"/>
      <c r="D373" s="19" t="n"/>
      <c r="E373" s="19" t="n"/>
    </row>
    <row r="374">
      <c r="A374" s="19" t="n"/>
      <c r="B374" s="19" t="n"/>
      <c r="C374" s="19" t="n"/>
      <c r="D374" s="19" t="n"/>
      <c r="E374" s="19" t="n"/>
    </row>
    <row r="375">
      <c r="A375" s="19" t="n"/>
      <c r="B375" s="19" t="n"/>
      <c r="C375" s="19" t="n"/>
      <c r="D375" s="19" t="n"/>
      <c r="E375" s="19" t="n"/>
    </row>
    <row r="376">
      <c r="A376" s="19" t="n"/>
      <c r="B376" s="19" t="n"/>
      <c r="C376" s="19" t="n"/>
      <c r="D376" s="19" t="n"/>
      <c r="E376" s="19" t="n"/>
    </row>
    <row r="377">
      <c r="A377" s="19" t="n"/>
      <c r="B377" s="19" t="n"/>
      <c r="C377" s="19" t="n"/>
      <c r="D377" s="19" t="n"/>
      <c r="E377" s="19" t="n"/>
    </row>
    <row r="378">
      <c r="A378" s="19" t="n"/>
      <c r="B378" s="19" t="n"/>
      <c r="C378" s="19" t="n"/>
      <c r="D378" s="19" t="n"/>
      <c r="E378" s="19" t="n"/>
    </row>
    <row r="379">
      <c r="A379" s="19" t="n"/>
      <c r="B379" s="19" t="n"/>
      <c r="C379" s="19" t="n"/>
      <c r="D379" s="19" t="n"/>
      <c r="E379" s="19" t="n"/>
    </row>
    <row r="380">
      <c r="A380" s="19" t="n"/>
      <c r="B380" s="19" t="n"/>
      <c r="C380" s="19" t="n"/>
      <c r="D380" s="19" t="n"/>
      <c r="E380" s="19" t="n"/>
    </row>
    <row r="381">
      <c r="A381" s="19" t="n"/>
      <c r="B381" s="19" t="n"/>
      <c r="C381" s="19" t="n"/>
      <c r="D381" s="19" t="n"/>
      <c r="E381" s="19" t="n"/>
    </row>
    <row r="382">
      <c r="A382" s="19" t="n"/>
      <c r="B382" s="19" t="n"/>
      <c r="C382" s="19" t="n"/>
      <c r="D382" s="19" t="n"/>
      <c r="E382" s="19" t="n"/>
    </row>
    <row r="383">
      <c r="A383" s="19" t="n"/>
      <c r="B383" s="19" t="n"/>
      <c r="C383" s="19" t="n"/>
      <c r="D383" s="19" t="n"/>
      <c r="E383" s="19" t="n"/>
    </row>
    <row r="384">
      <c r="A384" s="19" t="n"/>
      <c r="B384" s="19" t="n"/>
      <c r="C384" s="19" t="n"/>
      <c r="D384" s="19" t="n"/>
      <c r="E384" s="19" t="n"/>
    </row>
    <row r="385">
      <c r="A385" s="19" t="n"/>
      <c r="B385" s="19" t="n"/>
      <c r="C385" s="19" t="n"/>
      <c r="D385" s="19" t="n"/>
      <c r="E385" s="19" t="n"/>
    </row>
    <row r="386">
      <c r="A386" s="19" t="n"/>
      <c r="B386" s="19" t="n"/>
      <c r="C386" s="19" t="n"/>
      <c r="D386" s="19" t="n"/>
      <c r="E386" s="19" t="n"/>
    </row>
    <row r="387">
      <c r="A387" s="19" t="n"/>
      <c r="B387" s="19" t="n"/>
      <c r="C387" s="19" t="n"/>
      <c r="D387" s="19" t="n"/>
      <c r="E387" s="19" t="n"/>
    </row>
    <row r="388">
      <c r="A388" s="19" t="n"/>
      <c r="B388" s="19" t="n"/>
      <c r="C388" s="19" t="n"/>
      <c r="D388" s="19" t="n"/>
      <c r="E388" s="19" t="n"/>
    </row>
    <row r="389">
      <c r="A389" s="19" t="n"/>
      <c r="B389" s="19" t="n"/>
      <c r="C389" s="19" t="n"/>
      <c r="D389" s="19" t="n"/>
      <c r="E389" s="19" t="n"/>
    </row>
    <row r="390">
      <c r="A390" s="19" t="n"/>
      <c r="B390" s="19" t="n"/>
      <c r="C390" s="19" t="n"/>
      <c r="D390" s="19" t="n"/>
      <c r="E390" s="19" t="n"/>
    </row>
    <row r="391">
      <c r="A391" s="19" t="n"/>
      <c r="B391" s="19" t="n"/>
      <c r="C391" s="19" t="n"/>
      <c r="D391" s="19" t="n"/>
      <c r="E391" s="19" t="n"/>
    </row>
    <row r="392">
      <c r="A392" s="19" t="n"/>
      <c r="B392" s="19" t="n"/>
      <c r="C392" s="19" t="n"/>
      <c r="D392" s="19" t="n"/>
      <c r="E392" s="19" t="n"/>
    </row>
    <row r="393">
      <c r="A393" s="19" t="n"/>
      <c r="B393" s="19" t="n"/>
      <c r="C393" s="19" t="n"/>
      <c r="D393" s="19" t="n"/>
      <c r="E393" s="19" t="n"/>
    </row>
    <row r="394">
      <c r="A394" s="19" t="n"/>
      <c r="B394" s="19" t="n"/>
      <c r="C394" s="19" t="n"/>
      <c r="D394" s="19" t="n"/>
      <c r="E394" s="19" t="n"/>
    </row>
    <row r="395">
      <c r="A395" s="19" t="n"/>
      <c r="B395" s="19" t="n"/>
      <c r="C395" s="19" t="n"/>
      <c r="D395" s="19" t="n"/>
      <c r="E395" s="19" t="n"/>
    </row>
    <row r="396">
      <c r="A396" s="19" t="n"/>
      <c r="B396" s="19" t="n"/>
      <c r="C396" s="19" t="n"/>
      <c r="D396" s="19" t="n"/>
      <c r="E396" s="19" t="n"/>
    </row>
    <row r="397">
      <c r="A397" s="19" t="n"/>
      <c r="B397" s="19" t="n"/>
      <c r="C397" s="19" t="n"/>
      <c r="D397" s="19" t="n"/>
      <c r="E397" s="19" t="n"/>
    </row>
    <row r="398">
      <c r="A398" s="19" t="n"/>
      <c r="B398" s="19" t="n"/>
      <c r="C398" s="19" t="n"/>
      <c r="D398" s="19" t="n"/>
      <c r="E398" s="19" t="n"/>
    </row>
    <row r="399">
      <c r="A399" s="19" t="n"/>
      <c r="B399" s="19" t="n"/>
      <c r="C399" s="19" t="n"/>
      <c r="D399" s="19" t="n"/>
      <c r="E399" s="19" t="n"/>
    </row>
    <row r="400">
      <c r="A400" s="19" t="n"/>
      <c r="B400" s="19" t="n"/>
      <c r="C400" s="19" t="n"/>
      <c r="D400" s="19" t="n"/>
      <c r="E400" s="19" t="n"/>
    </row>
    <row r="401">
      <c r="A401" s="19" t="n"/>
      <c r="B401" s="19" t="n"/>
      <c r="C401" s="19" t="n"/>
      <c r="D401" s="19" t="n"/>
      <c r="E401" s="19" t="n"/>
    </row>
    <row r="402">
      <c r="A402" s="19" t="n"/>
      <c r="B402" s="19" t="n"/>
      <c r="C402" s="19" t="n"/>
      <c r="D402" s="19" t="n"/>
      <c r="E402" s="19" t="n"/>
    </row>
    <row r="403">
      <c r="A403" s="19" t="n"/>
      <c r="B403" s="19" t="n"/>
      <c r="C403" s="19" t="n"/>
      <c r="D403" s="19" t="n"/>
      <c r="E403" s="19" t="n"/>
    </row>
    <row r="404">
      <c r="A404" s="19" t="n"/>
      <c r="B404" s="19" t="n"/>
      <c r="C404" s="19" t="n"/>
      <c r="D404" s="19" t="n"/>
      <c r="E404" s="19" t="n"/>
    </row>
    <row r="405">
      <c r="A405" s="19" t="n"/>
      <c r="B405" s="19" t="n"/>
      <c r="C405" s="19" t="n"/>
      <c r="D405" s="19" t="n"/>
      <c r="E405" s="19" t="n"/>
    </row>
    <row r="406">
      <c r="A406" s="19" t="n"/>
      <c r="B406" s="19" t="n"/>
      <c r="C406" s="19" t="n"/>
      <c r="D406" s="19" t="n"/>
      <c r="E406" s="19" t="n"/>
    </row>
    <row r="407">
      <c r="A407" s="19" t="n"/>
      <c r="B407" s="19" t="n"/>
      <c r="C407" s="19" t="n"/>
      <c r="D407" s="19" t="n"/>
      <c r="E407" s="19" t="n"/>
    </row>
    <row r="408">
      <c r="A408" s="19" t="n"/>
      <c r="B408" s="19" t="n"/>
      <c r="C408" s="19" t="n"/>
      <c r="D408" s="19" t="n"/>
      <c r="E408" s="19" t="n"/>
    </row>
    <row r="409">
      <c r="A409" s="19" t="n"/>
      <c r="B409" s="19" t="n"/>
      <c r="C409" s="19" t="n"/>
      <c r="D409" s="19" t="n"/>
      <c r="E409" s="19" t="n"/>
    </row>
    <row r="410">
      <c r="A410" s="19" t="n"/>
      <c r="B410" s="19" t="n"/>
      <c r="C410" s="19" t="n"/>
      <c r="D410" s="19" t="n"/>
      <c r="E410" s="19" t="n"/>
    </row>
    <row r="411">
      <c r="A411" s="19" t="n"/>
      <c r="B411" s="19" t="n"/>
      <c r="C411" s="19" t="n"/>
      <c r="D411" s="19" t="n"/>
      <c r="E411" s="19" t="n"/>
    </row>
    <row r="412">
      <c r="A412" s="19" t="n"/>
      <c r="B412" s="19" t="n"/>
      <c r="C412" s="19" t="n"/>
      <c r="D412" s="19" t="n"/>
      <c r="E412" s="19" t="n"/>
    </row>
    <row r="413">
      <c r="A413" s="19" t="n"/>
      <c r="B413" s="19" t="n"/>
      <c r="C413" s="19" t="n"/>
      <c r="D413" s="19" t="n"/>
      <c r="E413" s="19" t="n"/>
    </row>
    <row r="414">
      <c r="A414" s="19" t="n"/>
      <c r="B414" s="19" t="n"/>
      <c r="C414" s="19" t="n"/>
      <c r="D414" s="19" t="n"/>
      <c r="E414" s="19" t="n"/>
    </row>
    <row r="415">
      <c r="A415" s="19" t="n"/>
      <c r="B415" s="19" t="n"/>
      <c r="C415" s="19" t="n"/>
      <c r="D415" s="19" t="n"/>
      <c r="E415" s="19" t="n"/>
    </row>
    <row r="416">
      <c r="A416" s="19" t="n"/>
      <c r="B416" s="19" t="n"/>
      <c r="C416" s="19" t="n"/>
      <c r="D416" s="19" t="n"/>
      <c r="E416" s="19" t="n"/>
    </row>
    <row r="417">
      <c r="A417" s="19" t="n"/>
      <c r="B417" s="19" t="n"/>
      <c r="C417" s="19" t="n"/>
      <c r="D417" s="19" t="n"/>
      <c r="E417" s="19" t="n"/>
    </row>
    <row r="418">
      <c r="A418" s="19" t="n"/>
      <c r="B418" s="19" t="n"/>
      <c r="C418" s="19" t="n"/>
      <c r="D418" s="19" t="n"/>
      <c r="E418" s="19" t="n"/>
    </row>
    <row r="419">
      <c r="A419" s="19" t="n"/>
      <c r="B419" s="19" t="n"/>
      <c r="C419" s="19" t="n"/>
      <c r="D419" s="19" t="n"/>
      <c r="E419" s="19" t="n"/>
    </row>
    <row r="420">
      <c r="A420" s="19" t="n"/>
      <c r="B420" s="19" t="n"/>
      <c r="C420" s="19" t="n"/>
      <c r="D420" s="19" t="n"/>
      <c r="E420" s="19" t="n"/>
    </row>
    <row r="421">
      <c r="A421" s="19" t="n"/>
      <c r="B421" s="19" t="n"/>
      <c r="C421" s="19" t="n"/>
      <c r="D421" s="19" t="n"/>
      <c r="E421" s="19" t="n"/>
    </row>
    <row r="422">
      <c r="A422" s="19" t="n"/>
      <c r="B422" s="19" t="n"/>
      <c r="C422" s="19" t="n"/>
      <c r="D422" s="19" t="n"/>
      <c r="E422" s="19" t="n"/>
    </row>
    <row r="423">
      <c r="A423" s="19" t="n"/>
      <c r="B423" s="19" t="n"/>
      <c r="C423" s="19" t="n"/>
      <c r="D423" s="19" t="n"/>
      <c r="E423" s="19" t="n"/>
    </row>
    <row r="424">
      <c r="A424" s="19" t="n"/>
      <c r="B424" s="19" t="n"/>
      <c r="C424" s="19" t="n"/>
      <c r="D424" s="19" t="n"/>
      <c r="E424" s="19" t="n"/>
    </row>
    <row r="425">
      <c r="A425" s="19" t="n"/>
      <c r="B425" s="19" t="n"/>
      <c r="C425" s="19" t="n"/>
      <c r="D425" s="19" t="n"/>
      <c r="E425" s="19" t="n"/>
    </row>
    <row r="426">
      <c r="A426" s="19" t="n"/>
      <c r="B426" s="19" t="n"/>
      <c r="C426" s="19" t="n"/>
      <c r="D426" s="19" t="n"/>
      <c r="E426" s="19" t="n"/>
    </row>
    <row r="427">
      <c r="A427" s="19" t="n"/>
      <c r="B427" s="19" t="n"/>
      <c r="C427" s="19" t="n"/>
      <c r="D427" s="19" t="n"/>
      <c r="E427" s="19" t="n"/>
    </row>
    <row r="428">
      <c r="A428" s="19" t="n"/>
      <c r="B428" s="19" t="n"/>
      <c r="C428" s="19" t="n"/>
      <c r="D428" s="19" t="n"/>
      <c r="E428" s="19" t="n"/>
    </row>
    <row r="429">
      <c r="A429" s="19" t="n"/>
      <c r="B429" s="19" t="n"/>
      <c r="C429" s="19" t="n"/>
      <c r="D429" s="19" t="n"/>
      <c r="E429" s="19" t="n"/>
    </row>
    <row r="430">
      <c r="A430" s="19" t="n"/>
      <c r="B430" s="19" t="n"/>
      <c r="C430" s="19" t="n"/>
      <c r="D430" s="19" t="n"/>
      <c r="E430" s="19" t="n"/>
    </row>
    <row r="431">
      <c r="A431" s="19" t="n"/>
      <c r="B431" s="19" t="n"/>
      <c r="C431" s="19" t="n"/>
      <c r="D431" s="19" t="n"/>
      <c r="E431" s="19" t="n"/>
    </row>
    <row r="432">
      <c r="A432" s="19" t="n"/>
      <c r="B432" s="19" t="n"/>
      <c r="C432" s="19" t="n"/>
      <c r="D432" s="19" t="n"/>
      <c r="E432" s="19" t="n"/>
    </row>
    <row r="433">
      <c r="A433" s="19" t="n"/>
      <c r="B433" s="19" t="n"/>
      <c r="C433" s="19" t="n"/>
      <c r="D433" s="19" t="n"/>
      <c r="E433" s="19" t="n"/>
    </row>
    <row r="434">
      <c r="A434" s="19" t="n"/>
      <c r="B434" s="19" t="n"/>
      <c r="C434" s="19" t="n"/>
      <c r="D434" s="19" t="n"/>
      <c r="E434" s="19" t="n"/>
    </row>
    <row r="435">
      <c r="A435" s="19" t="n"/>
      <c r="B435" s="19" t="n"/>
      <c r="C435" s="19" t="n"/>
      <c r="D435" s="19" t="n"/>
      <c r="E435" s="19" t="n"/>
    </row>
    <row r="436">
      <c r="A436" s="19" t="n"/>
      <c r="B436" s="19" t="n"/>
      <c r="C436" s="19" t="n"/>
      <c r="D436" s="19" t="n"/>
      <c r="E436" s="19" t="n"/>
    </row>
    <row r="437">
      <c r="A437" s="19" t="n"/>
      <c r="B437" s="19" t="n"/>
      <c r="C437" s="19" t="n"/>
      <c r="D437" s="19" t="n"/>
      <c r="E437" s="19" t="n"/>
    </row>
    <row r="438">
      <c r="A438" s="19" t="n"/>
      <c r="B438" s="19" t="n"/>
      <c r="C438" s="19" t="n"/>
      <c r="D438" s="19" t="n"/>
      <c r="E438" s="19" t="n"/>
    </row>
    <row r="439">
      <c r="A439" s="19" t="n"/>
      <c r="B439" s="19" t="n"/>
      <c r="C439" s="19" t="n"/>
      <c r="D439" s="19" t="n"/>
      <c r="E439" s="19" t="n"/>
    </row>
    <row r="440">
      <c r="A440" s="19" t="n"/>
      <c r="B440" s="19" t="n"/>
      <c r="C440" s="19" t="n"/>
      <c r="D440" s="19" t="n"/>
      <c r="E440" s="19" t="n"/>
    </row>
    <row r="441">
      <c r="A441" s="19" t="n"/>
      <c r="B441" s="19" t="n"/>
      <c r="C441" s="19" t="n"/>
      <c r="D441" s="19" t="n"/>
      <c r="E441" s="19" t="n"/>
    </row>
    <row r="442">
      <c r="A442" s="19" t="n"/>
      <c r="B442" s="19" t="n"/>
      <c r="C442" s="19" t="n"/>
      <c r="D442" s="19" t="n"/>
      <c r="E442" s="19" t="n"/>
    </row>
    <row r="443">
      <c r="A443" s="19" t="n"/>
      <c r="B443" s="19" t="n"/>
      <c r="C443" s="19" t="n"/>
      <c r="D443" s="19" t="n"/>
      <c r="E443" s="19" t="n"/>
    </row>
    <row r="444">
      <c r="A444" s="19" t="n"/>
      <c r="B444" s="19" t="n"/>
      <c r="C444" s="19" t="n"/>
      <c r="D444" s="19" t="n"/>
      <c r="E444" s="19" t="n"/>
    </row>
    <row r="445">
      <c r="A445" s="19" t="n"/>
      <c r="B445" s="19" t="n"/>
      <c r="C445" s="19" t="n"/>
      <c r="D445" s="19" t="n"/>
      <c r="E445" s="19" t="n"/>
    </row>
    <row r="446">
      <c r="A446" s="19" t="n"/>
      <c r="B446" s="19" t="n"/>
      <c r="C446" s="19" t="n"/>
      <c r="D446" s="19" t="n"/>
      <c r="E446" s="19" t="n"/>
    </row>
    <row r="447">
      <c r="A447" s="19" t="n"/>
      <c r="B447" s="19" t="n"/>
      <c r="C447" s="19" t="n"/>
      <c r="D447" s="19" t="n"/>
      <c r="E447" s="19" t="n"/>
    </row>
    <row r="448">
      <c r="A448" s="19" t="n"/>
      <c r="B448" s="19" t="n"/>
      <c r="C448" s="19" t="n"/>
      <c r="D448" s="19" t="n"/>
      <c r="E448" s="19" t="n"/>
    </row>
    <row r="449">
      <c r="A449" s="19" t="n"/>
      <c r="B449" s="19" t="n"/>
      <c r="C449" s="19" t="n"/>
      <c r="D449" s="19" t="n"/>
      <c r="E449" s="19" t="n"/>
    </row>
    <row r="450">
      <c r="A450" s="19" t="n"/>
      <c r="B450" s="19" t="n"/>
      <c r="C450" s="19" t="n"/>
      <c r="D450" s="19" t="n"/>
      <c r="E450" s="19" t="n"/>
    </row>
    <row r="451">
      <c r="A451" s="19" t="n"/>
      <c r="B451" s="19" t="n"/>
      <c r="C451" s="19" t="n"/>
      <c r="D451" s="19" t="n"/>
      <c r="E451" s="19" t="n"/>
    </row>
    <row r="452">
      <c r="A452" s="19" t="n"/>
      <c r="B452" s="19" t="n"/>
      <c r="C452" s="19" t="n"/>
      <c r="D452" s="19" t="n"/>
      <c r="E452" s="19" t="n"/>
    </row>
    <row r="453">
      <c r="A453" s="19" t="n"/>
      <c r="B453" s="19" t="n"/>
      <c r="C453" s="19" t="n"/>
      <c r="D453" s="19" t="n"/>
      <c r="E453" s="19" t="n"/>
    </row>
    <row r="454">
      <c r="A454" s="19" t="n"/>
      <c r="B454" s="19" t="n"/>
      <c r="C454" s="19" t="n"/>
      <c r="D454" s="19" t="n"/>
      <c r="E454" s="19" t="n"/>
    </row>
    <row r="455">
      <c r="A455" s="19" t="n"/>
      <c r="B455" s="19" t="n"/>
      <c r="C455" s="19" t="n"/>
      <c r="D455" s="19" t="n"/>
      <c r="E455" s="19" t="n"/>
    </row>
    <row r="456">
      <c r="A456" s="19" t="n"/>
      <c r="B456" s="19" t="n"/>
      <c r="C456" s="19" t="n"/>
      <c r="D456" s="19" t="n"/>
      <c r="E456" s="19" t="n"/>
    </row>
    <row r="457">
      <c r="A457" s="19" t="n"/>
      <c r="B457" s="19" t="n"/>
      <c r="C457" s="19" t="n"/>
      <c r="D457" s="19" t="n"/>
      <c r="E457" s="19" t="n"/>
    </row>
    <row r="458">
      <c r="A458" s="19" t="n"/>
      <c r="B458" s="19" t="n"/>
      <c r="C458" s="19" t="n"/>
      <c r="D458" s="19" t="n"/>
      <c r="E458" s="19" t="n"/>
    </row>
    <row r="459">
      <c r="A459" s="19" t="n"/>
      <c r="B459" s="19" t="n"/>
      <c r="C459" s="19" t="n"/>
      <c r="D459" s="19" t="n"/>
      <c r="E459" s="19" t="n"/>
    </row>
    <row r="460">
      <c r="A460" s="19" t="n"/>
      <c r="B460" s="19" t="n"/>
      <c r="C460" s="19" t="n"/>
      <c r="D460" s="19" t="n"/>
      <c r="E460" s="19" t="n"/>
    </row>
    <row r="461">
      <c r="A461" s="19" t="n"/>
      <c r="B461" s="19" t="n"/>
      <c r="C461" s="19" t="n"/>
      <c r="D461" s="19" t="n"/>
      <c r="E461" s="19" t="n"/>
    </row>
    <row r="462">
      <c r="A462" s="19" t="n"/>
      <c r="B462" s="19" t="n"/>
      <c r="C462" s="19" t="n"/>
      <c r="D462" s="19" t="n"/>
      <c r="E462" s="19" t="n"/>
    </row>
    <row r="463">
      <c r="A463" s="19" t="n"/>
      <c r="B463" s="19" t="n"/>
      <c r="C463" s="19" t="n"/>
      <c r="D463" s="19" t="n"/>
      <c r="E463" s="19" t="n"/>
    </row>
    <row r="464">
      <c r="A464" s="19" t="n"/>
      <c r="B464" s="19" t="n"/>
      <c r="C464" s="19" t="n"/>
      <c r="D464" s="19" t="n"/>
      <c r="E464" s="19" t="n"/>
    </row>
    <row r="465">
      <c r="A465" s="19" t="n"/>
      <c r="B465" s="19" t="n"/>
      <c r="C465" s="19" t="n"/>
      <c r="D465" s="19" t="n"/>
      <c r="E465" s="19" t="n"/>
    </row>
    <row r="466">
      <c r="A466" s="19" t="n"/>
      <c r="B466" s="19" t="n"/>
      <c r="C466" s="19" t="n"/>
      <c r="D466" s="19" t="n"/>
      <c r="E466" s="19" t="n"/>
    </row>
    <row r="467">
      <c r="A467" s="19" t="n"/>
      <c r="B467" s="19" t="n"/>
      <c r="C467" s="19" t="n"/>
      <c r="D467" s="19" t="n"/>
      <c r="E467" s="19" t="n"/>
    </row>
    <row r="468">
      <c r="A468" s="19" t="n"/>
      <c r="B468" s="19" t="n"/>
      <c r="C468" s="19" t="n"/>
      <c r="D468" s="19" t="n"/>
      <c r="E468" s="19" t="n"/>
    </row>
    <row r="469">
      <c r="A469" s="19" t="n"/>
      <c r="B469" s="19" t="n"/>
      <c r="C469" s="19" t="n"/>
      <c r="D469" s="19" t="n"/>
      <c r="E469" s="19" t="n"/>
    </row>
    <row r="470">
      <c r="A470" s="19" t="n"/>
      <c r="B470" s="19" t="n"/>
      <c r="C470" s="19" t="n"/>
      <c r="D470" s="19" t="n"/>
      <c r="E470" s="19" t="n"/>
    </row>
    <row r="471">
      <c r="A471" s="19" t="n"/>
      <c r="B471" s="19" t="n"/>
      <c r="C471" s="19" t="n"/>
      <c r="D471" s="19" t="n"/>
      <c r="E471" s="19" t="n"/>
    </row>
    <row r="472">
      <c r="A472" s="19" t="n"/>
      <c r="B472" s="19" t="n"/>
      <c r="C472" s="19" t="n"/>
      <c r="D472" s="19" t="n"/>
      <c r="E472" s="19" t="n"/>
    </row>
    <row r="473">
      <c r="A473" s="19" t="n"/>
      <c r="B473" s="19" t="n"/>
      <c r="C473" s="19" t="n"/>
      <c r="D473" s="19" t="n"/>
      <c r="E473" s="19" t="n"/>
    </row>
    <row r="474">
      <c r="A474" s="19" t="n"/>
      <c r="B474" s="19" t="n"/>
      <c r="C474" s="19" t="n"/>
      <c r="D474" s="19" t="n"/>
      <c r="E474" s="19" t="n"/>
    </row>
    <row r="475">
      <c r="A475" s="19" t="n"/>
      <c r="B475" s="19" t="n"/>
      <c r="C475" s="19" t="n"/>
      <c r="D475" s="19" t="n"/>
      <c r="E475" s="19" t="n"/>
    </row>
    <row r="476">
      <c r="A476" s="19" t="n"/>
      <c r="B476" s="19" t="n"/>
      <c r="C476" s="19" t="n"/>
      <c r="D476" s="19" t="n"/>
      <c r="E476" s="19" t="n"/>
    </row>
    <row r="477">
      <c r="A477" s="19" t="n"/>
      <c r="B477" s="19" t="n"/>
      <c r="C477" s="19" t="n"/>
      <c r="D477" s="19" t="n"/>
      <c r="E477" s="19" t="n"/>
    </row>
    <row r="478">
      <c r="A478" s="19" t="n"/>
      <c r="B478" s="19" t="n"/>
      <c r="C478" s="19" t="n"/>
      <c r="D478" s="19" t="n"/>
      <c r="E478" s="19" t="n"/>
    </row>
    <row r="479">
      <c r="A479" s="19" t="n"/>
      <c r="B479" s="19" t="n"/>
      <c r="C479" s="19" t="n"/>
      <c r="D479" s="19" t="n"/>
      <c r="E479" s="19" t="n"/>
    </row>
    <row r="480">
      <c r="A480" s="19" t="n"/>
      <c r="B480" s="19" t="n"/>
      <c r="C480" s="19" t="n"/>
      <c r="D480" s="19" t="n"/>
      <c r="E480" s="19" t="n"/>
    </row>
    <row r="481">
      <c r="A481" s="19" t="n"/>
      <c r="B481" s="19" t="n"/>
      <c r="C481" s="19" t="n"/>
      <c r="D481" s="19" t="n"/>
      <c r="E481" s="19" t="n"/>
    </row>
    <row r="482">
      <c r="A482" s="19" t="n"/>
      <c r="B482" s="19" t="n"/>
      <c r="C482" s="19" t="n"/>
      <c r="D482" s="19" t="n"/>
      <c r="E482" s="19" t="n"/>
    </row>
    <row r="483">
      <c r="A483" s="19" t="n"/>
      <c r="B483" s="19" t="n"/>
      <c r="C483" s="19" t="n"/>
      <c r="D483" s="19" t="n"/>
      <c r="E483" s="19" t="n"/>
    </row>
    <row r="484">
      <c r="A484" s="19" t="n"/>
      <c r="B484" s="19" t="n"/>
      <c r="C484" s="19" t="n"/>
      <c r="D484" s="19" t="n"/>
      <c r="E484" s="19" t="n"/>
    </row>
    <row r="485">
      <c r="A485" s="19" t="n"/>
      <c r="B485" s="19" t="n"/>
      <c r="C485" s="19" t="n"/>
      <c r="D485" s="19" t="n"/>
      <c r="E485" s="19" t="n"/>
    </row>
    <row r="486">
      <c r="A486" s="19" t="n"/>
      <c r="B486" s="19" t="n"/>
      <c r="C486" s="19" t="n"/>
      <c r="D486" s="19" t="n"/>
      <c r="E486" s="19" t="n"/>
    </row>
    <row r="487">
      <c r="A487" s="19" t="n"/>
      <c r="B487" s="19" t="n"/>
      <c r="C487" s="19" t="n"/>
      <c r="D487" s="19" t="n"/>
      <c r="E487" s="19" t="n"/>
    </row>
    <row r="488">
      <c r="A488" s="19" t="n"/>
      <c r="B488" s="19" t="n"/>
      <c r="C488" s="19" t="n"/>
      <c r="D488" s="19" t="n"/>
      <c r="E488" s="19" t="n"/>
    </row>
    <row r="489">
      <c r="A489" s="19" t="n"/>
      <c r="B489" s="19" t="n"/>
      <c r="C489" s="19" t="n"/>
      <c r="D489" s="19" t="n"/>
      <c r="E489" s="19" t="n"/>
    </row>
    <row r="490">
      <c r="A490" s="19" t="n"/>
      <c r="B490" s="19" t="n"/>
      <c r="C490" s="19" t="n"/>
      <c r="D490" s="19" t="n"/>
      <c r="E490" s="19" t="n"/>
    </row>
    <row r="491">
      <c r="A491" s="19" t="n"/>
      <c r="B491" s="19" t="n"/>
      <c r="C491" s="19" t="n"/>
      <c r="D491" s="19" t="n"/>
      <c r="E491" s="19" t="n"/>
    </row>
    <row r="492">
      <c r="A492" s="19" t="n"/>
      <c r="B492" s="19" t="n"/>
      <c r="C492" s="19" t="n"/>
      <c r="D492" s="19" t="n"/>
      <c r="E492" s="19" t="n"/>
    </row>
    <row r="493">
      <c r="A493" s="19" t="n"/>
      <c r="B493" s="19" t="n"/>
      <c r="C493" s="19" t="n"/>
      <c r="D493" s="19" t="n"/>
      <c r="E493" s="19" t="n"/>
    </row>
    <row r="494">
      <c r="A494" s="19" t="n"/>
      <c r="B494" s="19" t="n"/>
      <c r="C494" s="19" t="n"/>
      <c r="D494" s="19" t="n"/>
      <c r="E494" s="19" t="n"/>
    </row>
    <row r="495">
      <c r="A495" s="19" t="n"/>
      <c r="B495" s="19" t="n"/>
      <c r="C495" s="19" t="n"/>
      <c r="D495" s="19" t="n"/>
      <c r="E495" s="19" t="n"/>
    </row>
    <row r="496">
      <c r="A496" s="19" t="n"/>
      <c r="B496" s="19" t="n"/>
      <c r="C496" s="19" t="n"/>
      <c r="D496" s="19" t="n"/>
      <c r="E496" s="19" t="n"/>
    </row>
    <row r="497">
      <c r="A497" s="19" t="n"/>
      <c r="B497" s="19" t="n"/>
      <c r="C497" s="19" t="n"/>
      <c r="D497" s="19" t="n"/>
      <c r="E497" s="19" t="n"/>
    </row>
    <row r="498">
      <c r="A498" s="19" t="n"/>
      <c r="B498" s="19" t="n"/>
      <c r="C498" s="19" t="n"/>
      <c r="D498" s="19" t="n"/>
      <c r="E498" s="19" t="n"/>
    </row>
    <row r="499">
      <c r="A499" s="19" t="n"/>
      <c r="B499" s="19" t="n"/>
      <c r="C499" s="19" t="n"/>
      <c r="D499" s="19" t="n"/>
      <c r="E499" s="19" t="n"/>
    </row>
    <row r="500">
      <c r="A500" s="19" t="n"/>
      <c r="B500" s="19" t="n"/>
      <c r="C500" s="19" t="n"/>
      <c r="D500" s="19" t="n"/>
      <c r="E500" s="19" t="n"/>
    </row>
    <row r="501">
      <c r="A501" s="19" t="n"/>
      <c r="B501" s="19" t="n"/>
      <c r="C501" s="19" t="n"/>
      <c r="D501" s="19" t="n"/>
      <c r="E501" s="19" t="n"/>
    </row>
    <row r="502">
      <c r="A502" s="19" t="n"/>
      <c r="B502" s="19" t="n"/>
      <c r="C502" s="19" t="n"/>
      <c r="D502" s="19" t="n"/>
      <c r="E502" s="19" t="n"/>
    </row>
    <row r="503">
      <c r="A503" s="19" t="n"/>
      <c r="B503" s="19" t="n"/>
      <c r="C503" s="19" t="n"/>
      <c r="D503" s="19" t="n"/>
      <c r="E503" s="19" t="n"/>
    </row>
    <row r="504">
      <c r="A504" s="19" t="n"/>
      <c r="B504" s="19" t="n"/>
      <c r="C504" s="19" t="n"/>
      <c r="D504" s="19" t="n"/>
      <c r="E504" s="19" t="n"/>
    </row>
    <row r="505">
      <c r="A505" s="19" t="n"/>
      <c r="B505" s="19" t="n"/>
      <c r="C505" s="19" t="n"/>
      <c r="D505" s="19" t="n"/>
      <c r="E505" s="19" t="n"/>
    </row>
    <row r="506">
      <c r="A506" s="19" t="n"/>
      <c r="B506" s="19" t="n"/>
      <c r="C506" s="19" t="n"/>
      <c r="D506" s="19" t="n"/>
      <c r="E506" s="19" t="n"/>
    </row>
    <row r="507">
      <c r="A507" s="19" t="n"/>
      <c r="B507" s="19" t="n"/>
      <c r="C507" s="19" t="n"/>
      <c r="D507" s="19" t="n"/>
      <c r="E507" s="19" t="n"/>
    </row>
    <row r="508">
      <c r="A508" s="19" t="n"/>
      <c r="B508" s="19" t="n"/>
      <c r="C508" s="19" t="n"/>
      <c r="D508" s="19" t="n"/>
      <c r="E508" s="19" t="n"/>
    </row>
    <row r="509">
      <c r="A509" s="19" t="n"/>
      <c r="B509" s="19" t="n"/>
      <c r="C509" s="19" t="n"/>
      <c r="D509" s="19" t="n"/>
      <c r="E509" s="19" t="n"/>
    </row>
    <row r="510">
      <c r="A510" s="19" t="n"/>
      <c r="B510" s="19" t="n"/>
      <c r="C510" s="19" t="n"/>
      <c r="D510" s="19" t="n"/>
      <c r="E510" s="19" t="n"/>
    </row>
    <row r="511">
      <c r="A511" s="19" t="n"/>
      <c r="B511" s="19" t="n"/>
      <c r="C511" s="19" t="n"/>
      <c r="D511" s="19" t="n"/>
      <c r="E511" s="19" t="n"/>
    </row>
    <row r="512">
      <c r="A512" s="19" t="n"/>
      <c r="B512" s="19" t="n"/>
      <c r="C512" s="19" t="n"/>
      <c r="D512" s="19" t="n"/>
      <c r="E512" s="19" t="n"/>
    </row>
    <row r="513">
      <c r="A513" s="19" t="n"/>
      <c r="B513" s="19" t="n"/>
      <c r="C513" s="19" t="n"/>
      <c r="D513" s="19" t="n"/>
      <c r="E513" s="19" t="n"/>
    </row>
    <row r="514">
      <c r="A514" s="19" t="n"/>
      <c r="B514" s="19" t="n"/>
      <c r="C514" s="19" t="n"/>
      <c r="D514" s="19" t="n"/>
      <c r="E514" s="19" t="n"/>
    </row>
    <row r="515">
      <c r="A515" s="19" t="n"/>
      <c r="B515" s="19" t="n"/>
      <c r="C515" s="19" t="n"/>
      <c r="D515" s="19" t="n"/>
      <c r="E515" s="19" t="n"/>
    </row>
    <row r="516">
      <c r="A516" s="19" t="n"/>
      <c r="B516" s="19" t="n"/>
      <c r="C516" s="19" t="n"/>
      <c r="D516" s="19" t="n"/>
      <c r="E516" s="19" t="n"/>
    </row>
    <row r="517">
      <c r="A517" s="19" t="n"/>
      <c r="B517" s="19" t="n"/>
      <c r="C517" s="19" t="n"/>
      <c r="D517" s="19" t="n"/>
      <c r="E517" s="19" t="n"/>
    </row>
    <row r="518">
      <c r="A518" s="19" t="n"/>
      <c r="B518" s="19" t="n"/>
      <c r="C518" s="19" t="n"/>
      <c r="D518" s="19" t="n"/>
      <c r="E518" s="19" t="n"/>
    </row>
    <row r="519">
      <c r="A519" s="19" t="n"/>
      <c r="B519" s="19" t="n"/>
      <c r="C519" s="19" t="n"/>
      <c r="D519" s="19" t="n"/>
      <c r="E519" s="19" t="n"/>
    </row>
    <row r="520">
      <c r="A520" s="19" t="n"/>
      <c r="B520" s="19" t="n"/>
      <c r="C520" s="19" t="n"/>
      <c r="D520" s="19" t="n"/>
      <c r="E520" s="19" t="n"/>
    </row>
    <row r="521">
      <c r="A521" s="19" t="n"/>
      <c r="B521" s="19" t="n"/>
      <c r="C521" s="19" t="n"/>
      <c r="D521" s="19" t="n"/>
      <c r="E521" s="19" t="n"/>
    </row>
    <row r="522">
      <c r="A522" s="19" t="n"/>
      <c r="B522" s="19" t="n"/>
      <c r="C522" s="19" t="n"/>
      <c r="D522" s="19" t="n"/>
      <c r="E522" s="19" t="n"/>
    </row>
    <row r="523">
      <c r="A523" s="19" t="n"/>
      <c r="B523" s="19" t="n"/>
      <c r="C523" s="19" t="n"/>
      <c r="D523" s="19" t="n"/>
      <c r="E523" s="19" t="n"/>
    </row>
    <row r="524">
      <c r="A524" s="19" t="n"/>
      <c r="B524" s="19" t="n"/>
      <c r="C524" s="19" t="n"/>
      <c r="D524" s="19" t="n"/>
      <c r="E524" s="19" t="n"/>
    </row>
    <row r="525">
      <c r="A525" s="19" t="n"/>
      <c r="B525" s="19" t="n"/>
      <c r="C525" s="19" t="n"/>
      <c r="D525" s="19" t="n"/>
      <c r="E525" s="19" t="n"/>
    </row>
    <row r="526">
      <c r="A526" s="19" t="n"/>
      <c r="B526" s="19" t="n"/>
      <c r="C526" s="19" t="n"/>
      <c r="D526" s="19" t="n"/>
      <c r="E526" s="19" t="n"/>
    </row>
    <row r="527">
      <c r="A527" s="19" t="n"/>
      <c r="B527" s="19" t="n"/>
      <c r="C527" s="19" t="n"/>
      <c r="D527" s="19" t="n"/>
      <c r="E527" s="19" t="n"/>
    </row>
    <row r="528">
      <c r="A528" s="19" t="n"/>
      <c r="B528" s="19" t="n"/>
      <c r="C528" s="19" t="n"/>
      <c r="D528" s="19" t="n"/>
      <c r="E528" s="19" t="n"/>
    </row>
    <row r="529">
      <c r="A529" s="19" t="n"/>
      <c r="B529" s="19" t="n"/>
      <c r="C529" s="19" t="n"/>
      <c r="D529" s="19" t="n"/>
      <c r="E529" s="19" t="n"/>
    </row>
    <row r="530">
      <c r="A530" s="19" t="n"/>
      <c r="B530" s="19" t="n"/>
      <c r="C530" s="19" t="n"/>
      <c r="D530" s="19" t="n"/>
      <c r="E530" s="19" t="n"/>
    </row>
    <row r="531">
      <c r="A531" s="19" t="n"/>
      <c r="B531" s="19" t="n"/>
      <c r="C531" s="19" t="n"/>
      <c r="D531" s="19" t="n"/>
      <c r="E531" s="19" t="n"/>
    </row>
    <row r="532">
      <c r="A532" s="19" t="n"/>
      <c r="B532" s="19" t="n"/>
      <c r="C532" s="19" t="n"/>
      <c r="D532" s="19" t="n"/>
      <c r="E532" s="19" t="n"/>
    </row>
    <row r="533">
      <c r="A533" s="19" t="n"/>
      <c r="B533" s="19" t="n"/>
      <c r="C533" s="19" t="n"/>
      <c r="D533" s="19" t="n"/>
      <c r="E533" s="19" t="n"/>
    </row>
    <row r="534">
      <c r="A534" s="19" t="n"/>
      <c r="B534" s="19" t="n"/>
      <c r="C534" s="19" t="n"/>
      <c r="D534" s="19" t="n"/>
      <c r="E534" s="19" t="n"/>
    </row>
    <row r="535">
      <c r="A535" s="19" t="n"/>
      <c r="B535" s="19" t="n"/>
      <c r="C535" s="19" t="n"/>
      <c r="D535" s="19" t="n"/>
      <c r="E535" s="19" t="n"/>
    </row>
    <row r="536">
      <c r="A536" s="19" t="n"/>
      <c r="B536" s="19" t="n"/>
      <c r="C536" s="19" t="n"/>
      <c r="D536" s="19" t="n"/>
      <c r="E536" s="19" t="n"/>
    </row>
    <row r="537">
      <c r="A537" s="19" t="n"/>
      <c r="B537" s="19" t="n"/>
      <c r="C537" s="19" t="n"/>
      <c r="D537" s="19" t="n"/>
      <c r="E537" s="19" t="n"/>
    </row>
    <row r="538">
      <c r="A538" s="19" t="n"/>
      <c r="B538" s="19" t="n"/>
      <c r="C538" s="19" t="n"/>
      <c r="D538" s="19" t="n"/>
      <c r="E538" s="19" t="n"/>
    </row>
    <row r="539">
      <c r="A539" s="19" t="n"/>
      <c r="B539" s="19" t="n"/>
      <c r="C539" s="19" t="n"/>
      <c r="D539" s="19" t="n"/>
      <c r="E539" s="19" t="n"/>
    </row>
    <row r="540">
      <c r="A540" s="19" t="n"/>
      <c r="B540" s="19" t="n"/>
      <c r="C540" s="19" t="n"/>
      <c r="D540" s="19" t="n"/>
      <c r="E540" s="19" t="n"/>
    </row>
    <row r="541">
      <c r="A541" s="19" t="n"/>
      <c r="B541" s="19" t="n"/>
      <c r="C541" s="19" t="n"/>
      <c r="D541" s="19" t="n"/>
      <c r="E541" s="19" t="n"/>
    </row>
    <row r="542">
      <c r="A542" s="19" t="n"/>
      <c r="B542" s="19" t="n"/>
      <c r="C542" s="19" t="n"/>
      <c r="D542" s="19" t="n"/>
      <c r="E542" s="19" t="n"/>
    </row>
    <row r="543">
      <c r="A543" s="19" t="n"/>
      <c r="B543" s="19" t="n"/>
      <c r="C543" s="19" t="n"/>
      <c r="D543" s="19" t="n"/>
      <c r="E543" s="19" t="n"/>
    </row>
    <row r="544">
      <c r="A544" s="19" t="n"/>
      <c r="B544" s="19" t="n"/>
      <c r="C544" s="19" t="n"/>
      <c r="D544" s="19" t="n"/>
      <c r="E544" s="19" t="n"/>
    </row>
    <row r="545">
      <c r="A545" s="19" t="n"/>
      <c r="B545" s="19" t="n"/>
      <c r="C545" s="19" t="n"/>
      <c r="D545" s="19" t="n"/>
      <c r="E545" s="19" t="n"/>
    </row>
    <row r="546">
      <c r="A546" s="19" t="n"/>
      <c r="B546" s="19" t="n"/>
      <c r="C546" s="19" t="n"/>
      <c r="D546" s="19" t="n"/>
      <c r="E546" s="19" t="n"/>
    </row>
    <row r="547">
      <c r="A547" s="19" t="n"/>
      <c r="B547" s="19" t="n"/>
      <c r="C547" s="19" t="n"/>
      <c r="D547" s="19" t="n"/>
      <c r="E547" s="19" t="n"/>
    </row>
    <row r="548">
      <c r="A548" s="19" t="n"/>
      <c r="B548" s="19" t="n"/>
      <c r="C548" s="19" t="n"/>
      <c r="D548" s="19" t="n"/>
      <c r="E548" s="19" t="n"/>
    </row>
    <row r="549">
      <c r="A549" s="19" t="n"/>
      <c r="B549" s="19" t="n"/>
      <c r="C549" s="19" t="n"/>
      <c r="D549" s="19" t="n"/>
      <c r="E549" s="19" t="n"/>
    </row>
    <row r="550">
      <c r="A550" s="19" t="n"/>
      <c r="B550" s="19" t="n"/>
      <c r="C550" s="19" t="n"/>
      <c r="D550" s="19" t="n"/>
      <c r="E550" s="19" t="n"/>
    </row>
    <row r="551">
      <c r="A551" s="19" t="n"/>
      <c r="B551" s="19" t="n"/>
      <c r="C551" s="19" t="n"/>
      <c r="D551" s="19" t="n"/>
      <c r="E551" s="19" t="n"/>
    </row>
    <row r="552">
      <c r="A552" s="19" t="n"/>
      <c r="B552" s="19" t="n"/>
      <c r="C552" s="19" t="n"/>
      <c r="D552" s="19" t="n"/>
      <c r="E552" s="19" t="n"/>
    </row>
    <row r="553">
      <c r="A553" s="19" t="n"/>
      <c r="B553" s="19" t="n"/>
      <c r="C553" s="19" t="n"/>
      <c r="D553" s="19" t="n"/>
      <c r="E553" s="19" t="n"/>
    </row>
    <row r="554">
      <c r="A554" s="19" t="n"/>
      <c r="B554" s="19" t="n"/>
      <c r="C554" s="19" t="n"/>
      <c r="D554" s="19" t="n"/>
      <c r="E554" s="19" t="n"/>
    </row>
    <row r="555">
      <c r="A555" s="19" t="n"/>
      <c r="B555" s="19" t="n"/>
      <c r="C555" s="19" t="n"/>
      <c r="D555" s="19" t="n"/>
      <c r="E555" s="19" t="n"/>
    </row>
    <row r="556">
      <c r="A556" s="19" t="n"/>
      <c r="B556" s="19" t="n"/>
      <c r="C556" s="19" t="n"/>
      <c r="D556" s="19" t="n"/>
      <c r="E556" s="19" t="n"/>
    </row>
    <row r="557">
      <c r="A557" s="19" t="n"/>
      <c r="B557" s="19" t="n"/>
      <c r="C557" s="19" t="n"/>
      <c r="D557" s="19" t="n"/>
      <c r="E557" s="19" t="n"/>
    </row>
    <row r="558">
      <c r="A558" s="19" t="n"/>
      <c r="B558" s="19" t="n"/>
      <c r="C558" s="19" t="n"/>
      <c r="D558" s="19" t="n"/>
      <c r="E558" s="19" t="n"/>
    </row>
    <row r="559">
      <c r="A559" s="19" t="n"/>
      <c r="B559" s="19" t="n"/>
      <c r="C559" s="19" t="n"/>
      <c r="D559" s="19" t="n"/>
      <c r="E559" s="19" t="n"/>
    </row>
    <row r="560">
      <c r="A560" s="19" t="n"/>
      <c r="B560" s="19" t="n"/>
      <c r="C560" s="19" t="n"/>
      <c r="D560" s="19" t="n"/>
      <c r="E560" s="19" t="n"/>
    </row>
    <row r="561">
      <c r="A561" s="19" t="n"/>
      <c r="B561" s="19" t="n"/>
      <c r="C561" s="19" t="n"/>
      <c r="D561" s="19" t="n"/>
      <c r="E561" s="19" t="n"/>
    </row>
    <row r="562">
      <c r="A562" s="19" t="n"/>
      <c r="B562" s="19" t="n"/>
      <c r="C562" s="19" t="n"/>
      <c r="D562" s="19" t="n"/>
      <c r="E562" s="19" t="n"/>
    </row>
    <row r="563">
      <c r="A563" s="19" t="n"/>
      <c r="B563" s="19" t="n"/>
      <c r="C563" s="19" t="n"/>
      <c r="D563" s="19" t="n"/>
      <c r="E563" s="19" t="n"/>
    </row>
    <row r="564">
      <c r="A564" s="19" t="n"/>
      <c r="B564" s="19" t="n"/>
      <c r="C564" s="19" t="n"/>
      <c r="D564" s="19" t="n"/>
      <c r="E564" s="19" t="n"/>
    </row>
    <row r="565">
      <c r="A565" s="19" t="n"/>
      <c r="B565" s="19" t="n"/>
      <c r="C565" s="19" t="n"/>
      <c r="D565" s="19" t="n"/>
      <c r="E565" s="19" t="n"/>
    </row>
    <row r="566">
      <c r="A566" s="19" t="n"/>
      <c r="B566" s="19" t="n"/>
      <c r="C566" s="19" t="n"/>
      <c r="D566" s="19" t="n"/>
      <c r="E566" s="19" t="n"/>
    </row>
    <row r="567">
      <c r="A567" s="19" t="n"/>
      <c r="B567" s="19" t="n"/>
      <c r="C567" s="19" t="n"/>
      <c r="D567" s="19" t="n"/>
      <c r="E567" s="19" t="n"/>
    </row>
    <row r="568">
      <c r="A568" s="19" t="n"/>
      <c r="B568" s="19" t="n"/>
      <c r="C568" s="19" t="n"/>
      <c r="D568" s="19" t="n"/>
      <c r="E568" s="19" t="n"/>
    </row>
    <row r="569">
      <c r="A569" s="19" t="n"/>
      <c r="B569" s="19" t="n"/>
      <c r="C569" s="19" t="n"/>
      <c r="D569" s="19" t="n"/>
      <c r="E569" s="19" t="n"/>
    </row>
    <row r="570">
      <c r="A570" s="19" t="n"/>
      <c r="B570" s="19" t="n"/>
      <c r="C570" s="19" t="n"/>
      <c r="D570" s="19" t="n"/>
      <c r="E570" s="19" t="n"/>
    </row>
    <row r="571">
      <c r="A571" s="19" t="n"/>
      <c r="B571" s="19" t="n"/>
      <c r="C571" s="19" t="n"/>
      <c r="D571" s="19" t="n"/>
      <c r="E571" s="19" t="n"/>
    </row>
    <row r="572">
      <c r="A572" s="19" t="n"/>
      <c r="B572" s="19" t="n"/>
      <c r="C572" s="19" t="n"/>
      <c r="D572" s="19" t="n"/>
      <c r="E572" s="19" t="n"/>
    </row>
    <row r="573">
      <c r="A573" s="19" t="n"/>
      <c r="B573" s="19" t="n"/>
      <c r="C573" s="19" t="n"/>
      <c r="D573" s="19" t="n"/>
      <c r="E573" s="19" t="n"/>
    </row>
    <row r="574">
      <c r="A574" s="19" t="n"/>
      <c r="B574" s="19" t="n"/>
      <c r="C574" s="19" t="n"/>
      <c r="D574" s="19" t="n"/>
      <c r="E574" s="19" t="n"/>
    </row>
    <row r="575">
      <c r="A575" s="19" t="n"/>
      <c r="B575" s="19" t="n"/>
      <c r="C575" s="19" t="n"/>
      <c r="D575" s="19" t="n"/>
      <c r="E575" s="19" t="n"/>
    </row>
    <row r="576">
      <c r="A576" s="19" t="n"/>
      <c r="B576" s="19" t="n"/>
      <c r="C576" s="19" t="n"/>
      <c r="D576" s="19" t="n"/>
      <c r="E576" s="19" t="n"/>
    </row>
    <row r="577">
      <c r="A577" s="19" t="n"/>
      <c r="B577" s="19" t="n"/>
      <c r="C577" s="19" t="n"/>
      <c r="D577" s="19" t="n"/>
      <c r="E577" s="19" t="n"/>
    </row>
    <row r="578">
      <c r="A578" s="19" t="n"/>
      <c r="B578" s="19" t="n"/>
      <c r="C578" s="19" t="n"/>
      <c r="D578" s="19" t="n"/>
      <c r="E578" s="19" t="n"/>
    </row>
    <row r="579">
      <c r="A579" s="19" t="n"/>
      <c r="B579" s="19" t="n"/>
      <c r="C579" s="19" t="n"/>
      <c r="D579" s="19" t="n"/>
      <c r="E579" s="19" t="n"/>
    </row>
    <row r="580">
      <c r="A580" s="19" t="n"/>
      <c r="B580" s="19" t="n"/>
      <c r="C580" s="19" t="n"/>
      <c r="D580" s="19" t="n"/>
      <c r="E580" s="19" t="n"/>
    </row>
    <row r="581">
      <c r="A581" s="19" t="n"/>
      <c r="B581" s="19" t="n"/>
      <c r="C581" s="19" t="n"/>
      <c r="D581" s="19" t="n"/>
      <c r="E581" s="19" t="n"/>
    </row>
    <row r="582">
      <c r="A582" s="19" t="n"/>
      <c r="B582" s="19" t="n"/>
      <c r="C582" s="19" t="n"/>
      <c r="D582" s="19" t="n"/>
      <c r="E582" s="19" t="n"/>
    </row>
    <row r="583">
      <c r="A583" s="19" t="n"/>
      <c r="B583" s="19" t="n"/>
      <c r="C583" s="19" t="n"/>
      <c r="D583" s="19" t="n"/>
      <c r="E583" s="19" t="n"/>
    </row>
    <row r="584">
      <c r="A584" s="19" t="n"/>
      <c r="B584" s="19" t="n"/>
      <c r="C584" s="19" t="n"/>
      <c r="D584" s="19" t="n"/>
      <c r="E584" s="19" t="n"/>
    </row>
    <row r="585">
      <c r="A585" s="19" t="n"/>
      <c r="B585" s="19" t="n"/>
      <c r="C585" s="19" t="n"/>
      <c r="D585" s="19" t="n"/>
      <c r="E585" s="19" t="n"/>
    </row>
    <row r="586">
      <c r="A586" s="19" t="n"/>
      <c r="B586" s="19" t="n"/>
      <c r="C586" s="19" t="n"/>
      <c r="D586" s="19" t="n"/>
      <c r="E586" s="19" t="n"/>
    </row>
    <row r="587">
      <c r="A587" s="19" t="n"/>
      <c r="B587" s="19" t="n"/>
      <c r="C587" s="19" t="n"/>
      <c r="D587" s="19" t="n"/>
      <c r="E587" s="19" t="n"/>
    </row>
    <row r="588">
      <c r="A588" s="19" t="n"/>
      <c r="B588" s="19" t="n"/>
      <c r="C588" s="19" t="n"/>
      <c r="D588" s="19" t="n"/>
      <c r="E588" s="19" t="n"/>
    </row>
    <row r="589">
      <c r="A589" s="19" t="n"/>
      <c r="B589" s="19" t="n"/>
      <c r="C589" s="19" t="n"/>
      <c r="D589" s="19" t="n"/>
      <c r="E589" s="19" t="n"/>
    </row>
    <row r="590">
      <c r="A590" s="19" t="n"/>
      <c r="B590" s="19" t="n"/>
      <c r="C590" s="19" t="n"/>
      <c r="D590" s="19" t="n"/>
      <c r="E590" s="19" t="n"/>
    </row>
    <row r="591">
      <c r="A591" s="19" t="n"/>
      <c r="B591" s="19" t="n"/>
      <c r="C591" s="19" t="n"/>
      <c r="D591" s="19" t="n"/>
      <c r="E591" s="19" t="n"/>
    </row>
    <row r="592">
      <c r="A592" s="19" t="n"/>
      <c r="B592" s="19" t="n"/>
      <c r="C592" s="19" t="n"/>
      <c r="D592" s="19" t="n"/>
      <c r="E592" s="19" t="n"/>
    </row>
    <row r="593">
      <c r="A593" s="19" t="n"/>
      <c r="B593" s="19" t="n"/>
      <c r="C593" s="19" t="n"/>
      <c r="D593" s="19" t="n"/>
      <c r="E593" s="19" t="n"/>
    </row>
    <row r="594">
      <c r="A594" s="19" t="n"/>
      <c r="B594" s="19" t="n"/>
      <c r="C594" s="19" t="n"/>
      <c r="D594" s="19" t="n"/>
      <c r="E594" s="19" t="n"/>
    </row>
    <row r="595">
      <c r="A595" s="19" t="n"/>
      <c r="B595" s="19" t="n"/>
      <c r="C595" s="19" t="n"/>
      <c r="D595" s="19" t="n"/>
      <c r="E595" s="19" t="n"/>
    </row>
    <row r="596">
      <c r="A596" s="19" t="n"/>
      <c r="B596" s="19" t="n"/>
      <c r="C596" s="19" t="n"/>
      <c r="D596" s="19" t="n"/>
      <c r="E596" s="19" t="n"/>
    </row>
    <row r="597">
      <c r="A597" s="19" t="n"/>
      <c r="B597" s="19" t="n"/>
      <c r="C597" s="19" t="n"/>
      <c r="D597" s="19" t="n"/>
      <c r="E597" s="19" t="n"/>
    </row>
    <row r="598">
      <c r="A598" s="19" t="n"/>
      <c r="B598" s="19" t="n"/>
      <c r="C598" s="19" t="n"/>
      <c r="D598" s="19" t="n"/>
      <c r="E598" s="19" t="n"/>
    </row>
    <row r="599">
      <c r="A599" s="19" t="n"/>
      <c r="B599" s="19" t="n"/>
      <c r="C599" s="19" t="n"/>
      <c r="D599" s="19" t="n"/>
      <c r="E599" s="19" t="n"/>
    </row>
    <row r="600">
      <c r="A600" s="19" t="n"/>
      <c r="B600" s="19" t="n"/>
      <c r="C600" s="19" t="n"/>
      <c r="D600" s="19" t="n"/>
      <c r="E600" s="19" t="n"/>
    </row>
    <row r="601">
      <c r="A601" s="19" t="n"/>
      <c r="B601" s="19" t="n"/>
      <c r="C601" s="19" t="n"/>
      <c r="D601" s="19" t="n"/>
      <c r="E601" s="19" t="n"/>
    </row>
    <row r="602">
      <c r="A602" s="19" t="n"/>
      <c r="B602" s="19" t="n"/>
      <c r="C602" s="19" t="n"/>
      <c r="D602" s="19" t="n"/>
      <c r="E602" s="19" t="n"/>
    </row>
    <row r="603">
      <c r="A603" s="19" t="n"/>
      <c r="B603" s="19" t="n"/>
      <c r="C603" s="19" t="n"/>
      <c r="D603" s="19" t="n"/>
      <c r="E603" s="19" t="n"/>
    </row>
    <row r="604">
      <c r="A604" s="19" t="n"/>
      <c r="B604" s="19" t="n"/>
      <c r="C604" s="19" t="n"/>
      <c r="D604" s="19" t="n"/>
      <c r="E604" s="19" t="n"/>
    </row>
    <row r="605">
      <c r="A605" s="19" t="n"/>
      <c r="B605" s="19" t="n"/>
      <c r="C605" s="19" t="n"/>
      <c r="D605" s="19" t="n"/>
      <c r="E605" s="19" t="n"/>
    </row>
    <row r="606">
      <c r="A606" s="19" t="n"/>
      <c r="B606" s="19" t="n"/>
      <c r="C606" s="19" t="n"/>
      <c r="D606" s="19" t="n"/>
      <c r="E606" s="19" t="n"/>
    </row>
    <row r="607">
      <c r="A607" s="19" t="n"/>
      <c r="B607" s="19" t="n"/>
      <c r="C607" s="19" t="n"/>
      <c r="D607" s="19" t="n"/>
      <c r="E607" s="19" t="n"/>
    </row>
    <row r="608">
      <c r="A608" s="19" t="n"/>
      <c r="B608" s="19" t="n"/>
      <c r="C608" s="19" t="n"/>
      <c r="D608" s="19" t="n"/>
      <c r="E608" s="19" t="n"/>
    </row>
    <row r="609">
      <c r="A609" s="19" t="n"/>
      <c r="B609" s="19" t="n"/>
      <c r="C609" s="19" t="n"/>
      <c r="D609" s="19" t="n"/>
      <c r="E609" s="19" t="n"/>
    </row>
    <row r="610">
      <c r="A610" s="19" t="n"/>
      <c r="B610" s="19" t="n"/>
      <c r="C610" s="19" t="n"/>
      <c r="D610" s="19" t="n"/>
      <c r="E610" s="19" t="n"/>
    </row>
    <row r="611">
      <c r="A611" s="19" t="n"/>
      <c r="B611" s="19" t="n"/>
      <c r="C611" s="19" t="n"/>
      <c r="D611" s="19" t="n"/>
      <c r="E611" s="19" t="n"/>
    </row>
    <row r="612">
      <c r="A612" s="19" t="n"/>
      <c r="B612" s="19" t="n"/>
      <c r="C612" s="19" t="n"/>
      <c r="D612" s="19" t="n"/>
      <c r="E612" s="19" t="n"/>
    </row>
    <row r="613">
      <c r="A613" s="19" t="n"/>
      <c r="B613" s="19" t="n"/>
      <c r="C613" s="19" t="n"/>
      <c r="D613" s="19" t="n"/>
      <c r="E613" s="19" t="n"/>
    </row>
    <row r="614">
      <c r="A614" s="19" t="n"/>
      <c r="B614" s="19" t="n"/>
      <c r="C614" s="19" t="n"/>
      <c r="D614" s="19" t="n"/>
      <c r="E614" s="19" t="n"/>
    </row>
    <row r="615">
      <c r="A615" s="19" t="n"/>
      <c r="B615" s="19" t="n"/>
      <c r="C615" s="19" t="n"/>
      <c r="D615" s="19" t="n"/>
      <c r="E615" s="19" t="n"/>
    </row>
    <row r="616">
      <c r="A616" s="19" t="n"/>
      <c r="B616" s="19" t="n"/>
      <c r="C616" s="19" t="n"/>
      <c r="D616" s="19" t="n"/>
      <c r="E616" s="19" t="n"/>
    </row>
    <row r="617">
      <c r="A617" s="19" t="n"/>
      <c r="B617" s="19" t="n"/>
      <c r="C617" s="19" t="n"/>
      <c r="D617" s="19" t="n"/>
      <c r="E617" s="19" t="n"/>
    </row>
    <row r="618">
      <c r="A618" s="19" t="n"/>
      <c r="B618" s="19" t="n"/>
      <c r="C618" s="19" t="n"/>
      <c r="D618" s="19" t="n"/>
      <c r="E618" s="19" t="n"/>
    </row>
    <row r="619">
      <c r="A619" s="19" t="n"/>
      <c r="B619" s="19" t="n"/>
      <c r="C619" s="19" t="n"/>
      <c r="D619" s="19" t="n"/>
      <c r="E619" s="19" t="n"/>
    </row>
    <row r="620">
      <c r="A620" s="19" t="n"/>
      <c r="B620" s="19" t="n"/>
      <c r="C620" s="19" t="n"/>
      <c r="D620" s="19" t="n"/>
      <c r="E620" s="19" t="n"/>
    </row>
    <row r="621">
      <c r="A621" s="19" t="n"/>
      <c r="B621" s="19" t="n"/>
      <c r="C621" s="19" t="n"/>
      <c r="D621" s="19" t="n"/>
      <c r="E621" s="19" t="n"/>
    </row>
    <row r="622">
      <c r="A622" s="19" t="n"/>
      <c r="B622" s="19" t="n"/>
      <c r="C622" s="19" t="n"/>
      <c r="D622" s="19" t="n"/>
      <c r="E622" s="19" t="n"/>
    </row>
    <row r="623">
      <c r="A623" s="19" t="n"/>
      <c r="B623" s="19" t="n"/>
      <c r="C623" s="19" t="n"/>
      <c r="D623" s="19" t="n"/>
      <c r="E623" s="19" t="n"/>
    </row>
    <row r="624">
      <c r="A624" s="19" t="n"/>
      <c r="B624" s="19" t="n"/>
      <c r="C624" s="19" t="n"/>
      <c r="D624" s="19" t="n"/>
      <c r="E624" s="19" t="n"/>
    </row>
    <row r="625">
      <c r="A625" s="19" t="n"/>
      <c r="B625" s="19" t="n"/>
      <c r="C625" s="19" t="n"/>
      <c r="D625" s="19" t="n"/>
      <c r="E625" s="19" t="n"/>
    </row>
    <row r="626">
      <c r="A626" s="19" t="n"/>
      <c r="B626" s="19" t="n"/>
      <c r="C626" s="19" t="n"/>
      <c r="D626" s="19" t="n"/>
      <c r="E626" s="19" t="n"/>
    </row>
    <row r="627">
      <c r="A627" s="19" t="n"/>
      <c r="B627" s="19" t="n"/>
      <c r="C627" s="19" t="n"/>
      <c r="D627" s="19" t="n"/>
      <c r="E627" s="19" t="n"/>
    </row>
    <row r="628">
      <c r="A628" s="19" t="n"/>
      <c r="B628" s="19" t="n"/>
      <c r="C628" s="19" t="n"/>
      <c r="D628" s="19" t="n"/>
      <c r="E628" s="19" t="n"/>
    </row>
    <row r="629">
      <c r="A629" s="19" t="n"/>
      <c r="B629" s="19" t="n"/>
      <c r="C629" s="19" t="n"/>
      <c r="D629" s="19" t="n"/>
      <c r="E629" s="19" t="n"/>
    </row>
    <row r="630">
      <c r="A630" s="19" t="n"/>
      <c r="B630" s="19" t="n"/>
      <c r="C630" s="19" t="n"/>
      <c r="D630" s="19" t="n"/>
      <c r="E630" s="19" t="n"/>
    </row>
    <row r="631">
      <c r="A631" s="19" t="n"/>
      <c r="B631" s="19" t="n"/>
      <c r="C631" s="19" t="n"/>
      <c r="D631" s="19" t="n"/>
      <c r="E631" s="19" t="n"/>
    </row>
    <row r="632">
      <c r="A632" s="19" t="n"/>
      <c r="B632" s="19" t="n"/>
      <c r="C632" s="19" t="n"/>
      <c r="D632" s="19" t="n"/>
      <c r="E632" s="19" t="n"/>
    </row>
    <row r="633">
      <c r="A633" s="19" t="n"/>
      <c r="B633" s="19" t="n"/>
      <c r="C633" s="19" t="n"/>
      <c r="D633" s="19" t="n"/>
      <c r="E633" s="19" t="n"/>
    </row>
    <row r="634">
      <c r="A634" s="19" t="n"/>
      <c r="B634" s="19" t="n"/>
      <c r="C634" s="19" t="n"/>
      <c r="D634" s="19" t="n"/>
      <c r="E634" s="19" t="n"/>
    </row>
    <row r="635">
      <c r="A635" s="19" t="n"/>
      <c r="B635" s="19" t="n"/>
      <c r="C635" s="19" t="n"/>
      <c r="D635" s="19" t="n"/>
      <c r="E635" s="19" t="n"/>
    </row>
    <row r="636">
      <c r="A636" s="19" t="n"/>
      <c r="B636" s="19" t="n"/>
      <c r="C636" s="19" t="n"/>
      <c r="D636" s="19" t="n"/>
      <c r="E636" s="19" t="n"/>
    </row>
    <row r="637">
      <c r="A637" s="19" t="n"/>
      <c r="B637" s="19" t="n"/>
      <c r="C637" s="19" t="n"/>
      <c r="D637" s="19" t="n"/>
      <c r="E637" s="19" t="n"/>
    </row>
    <row r="638">
      <c r="A638" s="19" t="n"/>
      <c r="B638" s="19" t="n"/>
      <c r="C638" s="19" t="n"/>
      <c r="D638" s="19" t="n"/>
      <c r="E638" s="19" t="n"/>
    </row>
    <row r="639">
      <c r="A639" s="19" t="n"/>
      <c r="B639" s="19" t="n"/>
      <c r="C639" s="19" t="n"/>
      <c r="D639" s="19" t="n"/>
      <c r="E639" s="19" t="n"/>
    </row>
    <row r="640">
      <c r="A640" s="19" t="n"/>
      <c r="B640" s="19" t="n"/>
      <c r="C640" s="19" t="n"/>
      <c r="D640" s="19" t="n"/>
      <c r="E640" s="19" t="n"/>
    </row>
    <row r="641">
      <c r="A641" s="19" t="n"/>
      <c r="B641" s="19" t="n"/>
      <c r="C641" s="19" t="n"/>
      <c r="D641" s="19" t="n"/>
      <c r="E641" s="19" t="n"/>
    </row>
    <row r="642">
      <c r="A642" s="19" t="n"/>
      <c r="B642" s="19" t="n"/>
      <c r="C642" s="19" t="n"/>
      <c r="D642" s="19" t="n"/>
      <c r="E642" s="19" t="n"/>
    </row>
    <row r="643">
      <c r="A643" s="19" t="n"/>
      <c r="B643" s="19" t="n"/>
      <c r="C643" s="19" t="n"/>
      <c r="D643" s="19" t="n"/>
      <c r="E643" s="19" t="n"/>
    </row>
    <row r="644">
      <c r="A644" s="19" t="n"/>
      <c r="B644" s="19" t="n"/>
      <c r="C644" s="19" t="n"/>
      <c r="D644" s="19" t="n"/>
      <c r="E644" s="19" t="n"/>
    </row>
    <row r="645">
      <c r="A645" s="19" t="n"/>
      <c r="B645" s="19" t="n"/>
      <c r="C645" s="19" t="n"/>
      <c r="D645" s="19" t="n"/>
      <c r="E645" s="19" t="n"/>
    </row>
    <row r="646">
      <c r="A646" s="19" t="n"/>
      <c r="B646" s="19" t="n"/>
      <c r="C646" s="19" t="n"/>
      <c r="D646" s="19" t="n"/>
      <c r="E646" s="19" t="n"/>
    </row>
    <row r="647">
      <c r="A647" s="19" t="n"/>
      <c r="B647" s="19" t="n"/>
      <c r="C647" s="19" t="n"/>
      <c r="D647" s="19" t="n"/>
      <c r="E647" s="19" t="n"/>
    </row>
    <row r="648">
      <c r="A648" s="19" t="n"/>
      <c r="B648" s="19" t="n"/>
      <c r="C648" s="19" t="n"/>
      <c r="D648" s="19" t="n"/>
      <c r="E648" s="19" t="n"/>
    </row>
    <row r="649">
      <c r="A649" s="19" t="n"/>
      <c r="B649" s="19" t="n"/>
      <c r="C649" s="19" t="n"/>
      <c r="D649" s="19" t="n"/>
      <c r="E649" s="19" t="n"/>
    </row>
    <row r="650">
      <c r="A650" s="19" t="n"/>
      <c r="B650" s="19" t="n"/>
      <c r="C650" s="19" t="n"/>
      <c r="D650" s="19" t="n"/>
      <c r="E650" s="19" t="n"/>
    </row>
    <row r="651">
      <c r="A651" s="19" t="n"/>
      <c r="B651" s="19" t="n"/>
      <c r="C651" s="19" t="n"/>
      <c r="D651" s="19" t="n"/>
      <c r="E651" s="19" t="n"/>
    </row>
    <row r="652">
      <c r="A652" s="19" t="n"/>
      <c r="B652" s="19" t="n"/>
      <c r="C652" s="19" t="n"/>
      <c r="D652" s="19" t="n"/>
      <c r="E652" s="19" t="n"/>
    </row>
    <row r="653">
      <c r="A653" s="19" t="n"/>
      <c r="B653" s="19" t="n"/>
      <c r="C653" s="19" t="n"/>
      <c r="D653" s="19" t="n"/>
      <c r="E653" s="19" t="n"/>
    </row>
    <row r="654">
      <c r="A654" s="19" t="n"/>
      <c r="B654" s="19" t="n"/>
      <c r="C654" s="19" t="n"/>
      <c r="D654" s="19" t="n"/>
      <c r="E654" s="19" t="n"/>
    </row>
    <row r="655">
      <c r="A655" s="19" t="n"/>
      <c r="B655" s="19" t="n"/>
      <c r="C655" s="19" t="n"/>
      <c r="D655" s="19" t="n"/>
      <c r="E655" s="19" t="n"/>
    </row>
    <row r="656">
      <c r="A656" s="19" t="n"/>
      <c r="B656" s="19" t="n"/>
      <c r="C656" s="19" t="n"/>
      <c r="D656" s="19" t="n"/>
      <c r="E656" s="19" t="n"/>
    </row>
    <row r="657">
      <c r="A657" s="19" t="n"/>
      <c r="B657" s="19" t="n"/>
      <c r="C657" s="19" t="n"/>
      <c r="D657" s="19" t="n"/>
      <c r="E657" s="19" t="n"/>
    </row>
    <row r="658">
      <c r="A658" s="19" t="n"/>
      <c r="B658" s="19" t="n"/>
      <c r="C658" s="19" t="n"/>
      <c r="D658" s="19" t="n"/>
      <c r="E658" s="19" t="n"/>
    </row>
    <row r="659">
      <c r="A659" s="19" t="n"/>
      <c r="B659" s="19" t="n"/>
      <c r="C659" s="19" t="n"/>
      <c r="D659" s="19" t="n"/>
      <c r="E659" s="19" t="n"/>
    </row>
    <row r="660">
      <c r="A660" s="19" t="n"/>
      <c r="B660" s="19" t="n"/>
      <c r="C660" s="19" t="n"/>
      <c r="D660" s="19" t="n"/>
      <c r="E660" s="19" t="n"/>
    </row>
    <row r="661">
      <c r="A661" s="19" t="n"/>
      <c r="B661" s="19" t="n"/>
      <c r="C661" s="19" t="n"/>
      <c r="D661" s="19" t="n"/>
      <c r="E661" s="19" t="n"/>
    </row>
    <row r="662">
      <c r="A662" s="19" t="n"/>
      <c r="B662" s="19" t="n"/>
      <c r="C662" s="19" t="n"/>
      <c r="D662" s="19" t="n"/>
      <c r="E662" s="19" t="n"/>
    </row>
    <row r="663">
      <c r="A663" s="19" t="n"/>
      <c r="B663" s="19" t="n"/>
      <c r="C663" s="19" t="n"/>
      <c r="D663" s="19" t="n"/>
      <c r="E663" s="19" t="n"/>
    </row>
    <row r="664">
      <c r="A664" s="19" t="n"/>
      <c r="B664" s="19" t="n"/>
      <c r="C664" s="19" t="n"/>
      <c r="D664" s="19" t="n"/>
      <c r="E664" s="19" t="n"/>
    </row>
    <row r="665">
      <c r="A665" s="19" t="n"/>
      <c r="B665" s="19" t="n"/>
      <c r="C665" s="19" t="n"/>
      <c r="D665" s="19" t="n"/>
      <c r="E665" s="19" t="n"/>
    </row>
    <row r="666">
      <c r="A666" s="19" t="n"/>
      <c r="B666" s="19" t="n"/>
      <c r="C666" s="19" t="n"/>
      <c r="D666" s="19" t="n"/>
      <c r="E666" s="19" t="n"/>
    </row>
    <row r="667">
      <c r="A667" s="19" t="n"/>
      <c r="B667" s="19" t="n"/>
      <c r="C667" s="19" t="n"/>
      <c r="D667" s="19" t="n"/>
      <c r="E667" s="19" t="n"/>
    </row>
    <row r="668">
      <c r="A668" s="19" t="n"/>
      <c r="B668" s="19" t="n"/>
      <c r="C668" s="19" t="n"/>
      <c r="D668" s="19" t="n"/>
      <c r="E668" s="19" t="n"/>
    </row>
    <row r="669">
      <c r="A669" s="19" t="n"/>
      <c r="B669" s="19" t="n"/>
      <c r="C669" s="19" t="n"/>
      <c r="D669" s="19" t="n"/>
      <c r="E669" s="19" t="n"/>
    </row>
    <row r="670">
      <c r="A670" s="19" t="n"/>
      <c r="B670" s="19" t="n"/>
      <c r="C670" s="19" t="n"/>
      <c r="D670" s="19" t="n"/>
      <c r="E670" s="19" t="n"/>
    </row>
    <row r="671">
      <c r="A671" s="19" t="n"/>
      <c r="B671" s="19" t="n"/>
      <c r="C671" s="19" t="n"/>
      <c r="D671" s="19" t="n"/>
      <c r="E671" s="19" t="n"/>
    </row>
    <row r="672">
      <c r="A672" s="19" t="n"/>
      <c r="B672" s="19" t="n"/>
      <c r="C672" s="19" t="n"/>
      <c r="D672" s="19" t="n"/>
      <c r="E672" s="19" t="n"/>
    </row>
    <row r="673">
      <c r="A673" s="19" t="n"/>
      <c r="B673" s="19" t="n"/>
      <c r="C673" s="19" t="n"/>
      <c r="D673" s="19" t="n"/>
      <c r="E673" s="19" t="n"/>
    </row>
    <row r="674">
      <c r="A674" s="19" t="n"/>
      <c r="B674" s="19" t="n"/>
      <c r="C674" s="19" t="n"/>
      <c r="D674" s="19" t="n"/>
      <c r="E674" s="19" t="n"/>
    </row>
    <row r="675">
      <c r="A675" s="19" t="n"/>
      <c r="B675" s="19" t="n"/>
      <c r="C675" s="19" t="n"/>
      <c r="D675" s="19" t="n"/>
      <c r="E675" s="19" t="n"/>
    </row>
    <row r="676">
      <c r="A676" s="19" t="n"/>
      <c r="B676" s="19" t="n"/>
      <c r="C676" s="19" t="n"/>
      <c r="D676" s="19" t="n"/>
      <c r="E676" s="19" t="n"/>
    </row>
    <row r="677">
      <c r="A677" s="19" t="n"/>
      <c r="B677" s="19" t="n"/>
      <c r="C677" s="19" t="n"/>
      <c r="D677" s="19" t="n"/>
      <c r="E677" s="19" t="n"/>
    </row>
    <row r="678">
      <c r="A678" s="19" t="n"/>
      <c r="B678" s="19" t="n"/>
      <c r="C678" s="19" t="n"/>
      <c r="D678" s="19" t="n"/>
      <c r="E678" s="19" t="n"/>
    </row>
    <row r="679">
      <c r="A679" s="19" t="n"/>
      <c r="B679" s="19" t="n"/>
      <c r="C679" s="19" t="n"/>
      <c r="D679" s="19" t="n"/>
      <c r="E679" s="19" t="n"/>
    </row>
    <row r="680">
      <c r="A680" s="19" t="n"/>
      <c r="B680" s="19" t="n"/>
      <c r="C680" s="19" t="n"/>
      <c r="D680" s="19" t="n"/>
      <c r="E680" s="19" t="n"/>
    </row>
    <row r="681">
      <c r="A681" s="19" t="n"/>
      <c r="B681" s="19" t="n"/>
      <c r="C681" s="19" t="n"/>
      <c r="D681" s="19" t="n"/>
      <c r="E681" s="19" t="n"/>
    </row>
    <row r="682">
      <c r="A682" s="19" t="n"/>
      <c r="B682" s="19" t="n"/>
      <c r="C682" s="19" t="n"/>
      <c r="D682" s="19" t="n"/>
      <c r="E682" s="19" t="n"/>
    </row>
    <row r="683">
      <c r="A683" s="19" t="n"/>
      <c r="B683" s="19" t="n"/>
      <c r="C683" s="19" t="n"/>
      <c r="D683" s="19" t="n"/>
      <c r="E683" s="19" t="n"/>
    </row>
    <row r="684">
      <c r="A684" s="19" t="n"/>
      <c r="B684" s="19" t="n"/>
      <c r="C684" s="19" t="n"/>
      <c r="D684" s="19" t="n"/>
      <c r="E684" s="19" t="n"/>
    </row>
    <row r="685">
      <c r="A685" s="19" t="n"/>
      <c r="B685" s="19" t="n"/>
      <c r="C685" s="19" t="n"/>
      <c r="D685" s="19" t="n"/>
      <c r="E685" s="19" t="n"/>
    </row>
    <row r="686">
      <c r="A686" s="19" t="n"/>
      <c r="B686" s="19" t="n"/>
      <c r="C686" s="19" t="n"/>
      <c r="D686" s="19" t="n"/>
      <c r="E686" s="19" t="n"/>
    </row>
    <row r="687">
      <c r="A687" s="19" t="n"/>
      <c r="B687" s="19" t="n"/>
      <c r="C687" s="19" t="n"/>
      <c r="D687" s="19" t="n"/>
      <c r="E687" s="19" t="n"/>
    </row>
    <row r="688">
      <c r="A688" s="19" t="n"/>
      <c r="B688" s="19" t="n"/>
      <c r="C688" s="19" t="n"/>
      <c r="D688" s="19" t="n"/>
      <c r="E688" s="19" t="n"/>
    </row>
    <row r="689">
      <c r="A689" s="19" t="n"/>
      <c r="B689" s="19" t="n"/>
      <c r="C689" s="19" t="n"/>
      <c r="D689" s="19" t="n"/>
      <c r="E689" s="19" t="n"/>
    </row>
    <row r="690">
      <c r="A690" s="19" t="n"/>
      <c r="B690" s="19" t="n"/>
      <c r="C690" s="19" t="n"/>
      <c r="D690" s="19" t="n"/>
      <c r="E690" s="19" t="n"/>
    </row>
    <row r="691">
      <c r="A691" s="19" t="n"/>
      <c r="B691" s="19" t="n"/>
      <c r="C691" s="19" t="n"/>
      <c r="D691" s="19" t="n"/>
      <c r="E691" s="19" t="n"/>
    </row>
    <row r="692">
      <c r="A692" s="19" t="n"/>
      <c r="B692" s="19" t="n"/>
      <c r="C692" s="19" t="n"/>
      <c r="D692" s="19" t="n"/>
      <c r="E692" s="19" t="n"/>
    </row>
    <row r="693">
      <c r="A693" s="19" t="n"/>
      <c r="B693" s="19" t="n"/>
      <c r="C693" s="19" t="n"/>
      <c r="D693" s="19" t="n"/>
      <c r="E693" s="19" t="n"/>
    </row>
    <row r="694">
      <c r="A694" s="19" t="n"/>
      <c r="B694" s="19" t="n"/>
      <c r="C694" s="19" t="n"/>
      <c r="D694" s="19" t="n"/>
      <c r="E694" s="19" t="n"/>
    </row>
    <row r="695">
      <c r="A695" s="19" t="n"/>
      <c r="B695" s="19" t="n"/>
      <c r="C695" s="19" t="n"/>
      <c r="D695" s="19" t="n"/>
      <c r="E695" s="19" t="n"/>
    </row>
    <row r="696">
      <c r="A696" s="19" t="n"/>
      <c r="B696" s="19" t="n"/>
      <c r="C696" s="19" t="n"/>
      <c r="D696" s="19" t="n"/>
      <c r="E696" s="19" t="n"/>
    </row>
    <row r="697">
      <c r="A697" s="19" t="n"/>
      <c r="B697" s="19" t="n"/>
      <c r="C697" s="19" t="n"/>
      <c r="D697" s="19" t="n"/>
      <c r="E697" s="19" t="n"/>
    </row>
    <row r="698">
      <c r="A698" s="19" t="n"/>
      <c r="B698" s="19" t="n"/>
      <c r="C698" s="19" t="n"/>
      <c r="D698" s="19" t="n"/>
      <c r="E698" s="19" t="n"/>
    </row>
    <row r="699">
      <c r="A699" s="19" t="n"/>
      <c r="B699" s="19" t="n"/>
      <c r="C699" s="19" t="n"/>
      <c r="D699" s="19" t="n"/>
      <c r="E699" s="19" t="n"/>
    </row>
    <row r="700">
      <c r="A700" s="19" t="n"/>
      <c r="B700" s="19" t="n"/>
      <c r="C700" s="19" t="n"/>
      <c r="D700" s="19" t="n"/>
      <c r="E700" s="19" t="n"/>
    </row>
    <row r="701">
      <c r="A701" s="19" t="n"/>
      <c r="B701" s="19" t="n"/>
      <c r="C701" s="19" t="n"/>
      <c r="D701" s="19" t="n"/>
      <c r="E701" s="19" t="n"/>
    </row>
    <row r="702">
      <c r="A702" s="19" t="n"/>
      <c r="B702" s="19" t="n"/>
      <c r="C702" s="19" t="n"/>
      <c r="D702" s="19" t="n"/>
      <c r="E702" s="19" t="n"/>
    </row>
    <row r="703">
      <c r="A703" s="19" t="n"/>
      <c r="B703" s="19" t="n"/>
      <c r="C703" s="19" t="n"/>
      <c r="D703" s="19" t="n"/>
      <c r="E703" s="19" t="n"/>
    </row>
    <row r="704">
      <c r="A704" s="19" t="n"/>
      <c r="B704" s="19" t="n"/>
      <c r="C704" s="19" t="n"/>
      <c r="D704" s="19" t="n"/>
      <c r="E704" s="19" t="n"/>
    </row>
    <row r="705">
      <c r="A705" s="19" t="n"/>
      <c r="B705" s="19" t="n"/>
      <c r="C705" s="19" t="n"/>
      <c r="D705" s="19" t="n"/>
      <c r="E705" s="19" t="n"/>
    </row>
    <row r="706">
      <c r="A706" s="19" t="n"/>
      <c r="B706" s="19" t="n"/>
      <c r="C706" s="19" t="n"/>
      <c r="D706" s="19" t="n"/>
      <c r="E706" s="19" t="n"/>
    </row>
    <row r="707">
      <c r="A707" s="19" t="n"/>
      <c r="B707" s="19" t="n"/>
      <c r="C707" s="19" t="n"/>
      <c r="D707" s="19" t="n"/>
      <c r="E707" s="19" t="n"/>
    </row>
    <row r="708">
      <c r="A708" s="19" t="n"/>
      <c r="B708" s="19" t="n"/>
      <c r="C708" s="19" t="n"/>
      <c r="D708" s="19" t="n"/>
      <c r="E708" s="19" t="n"/>
    </row>
    <row r="709">
      <c r="A709" s="19" t="n"/>
      <c r="B709" s="19" t="n"/>
      <c r="C709" s="19" t="n"/>
      <c r="D709" s="19" t="n"/>
      <c r="E709" s="19" t="n"/>
    </row>
    <row r="710">
      <c r="A710" s="19" t="n"/>
      <c r="B710" s="19" t="n"/>
      <c r="C710" s="19" t="n"/>
      <c r="D710" s="19" t="n"/>
      <c r="E710" s="19" t="n"/>
    </row>
    <row r="711">
      <c r="A711" s="19" t="n"/>
      <c r="B711" s="19" t="n"/>
      <c r="C711" s="19" t="n"/>
      <c r="D711" s="19" t="n"/>
      <c r="E711" s="19" t="n"/>
    </row>
    <row r="712">
      <c r="A712" s="19" t="n"/>
      <c r="B712" s="19" t="n"/>
      <c r="C712" s="19" t="n"/>
      <c r="D712" s="19" t="n"/>
      <c r="E712" s="19" t="n"/>
    </row>
    <row r="713">
      <c r="A713" s="19" t="n"/>
      <c r="B713" s="19" t="n"/>
      <c r="C713" s="19" t="n"/>
      <c r="D713" s="19" t="n"/>
      <c r="E713" s="19" t="n"/>
    </row>
    <row r="714">
      <c r="A714" s="19" t="n"/>
      <c r="B714" s="19" t="n"/>
      <c r="C714" s="19" t="n"/>
      <c r="D714" s="19" t="n"/>
      <c r="E714" s="19" t="n"/>
    </row>
    <row r="715">
      <c r="A715" s="19" t="n"/>
      <c r="B715" s="19" t="n"/>
      <c r="C715" s="19" t="n"/>
      <c r="D715" s="19" t="n"/>
      <c r="E715" s="19" t="n"/>
    </row>
    <row r="716">
      <c r="A716" s="19" t="n"/>
      <c r="B716" s="19" t="n"/>
      <c r="C716" s="19" t="n"/>
      <c r="D716" s="19" t="n"/>
      <c r="E716" s="19" t="n"/>
    </row>
    <row r="717">
      <c r="A717" s="19" t="n"/>
      <c r="B717" s="19" t="n"/>
      <c r="C717" s="19" t="n"/>
      <c r="D717" s="19" t="n"/>
      <c r="E717" s="19" t="n"/>
    </row>
    <row r="718">
      <c r="A718" s="19" t="n"/>
      <c r="B718" s="19" t="n"/>
      <c r="C718" s="19" t="n"/>
      <c r="D718" s="19" t="n"/>
      <c r="E718" s="19" t="n"/>
    </row>
    <row r="719">
      <c r="A719" s="19" t="n"/>
      <c r="B719" s="19" t="n"/>
      <c r="C719" s="19" t="n"/>
      <c r="D719" s="19" t="n"/>
      <c r="E719" s="19" t="n"/>
    </row>
    <row r="720">
      <c r="A720" s="19" t="n"/>
      <c r="B720" s="19" t="n"/>
      <c r="C720" s="19" t="n"/>
      <c r="D720" s="19" t="n"/>
      <c r="E720" s="19" t="n"/>
    </row>
    <row r="721">
      <c r="A721" s="19" t="n"/>
      <c r="B721" s="19" t="n"/>
      <c r="C721" s="19" t="n"/>
      <c r="D721" s="19" t="n"/>
      <c r="E721" s="19" t="n"/>
    </row>
    <row r="722">
      <c r="A722" s="19" t="n"/>
      <c r="B722" s="19" t="n"/>
      <c r="C722" s="19" t="n"/>
      <c r="D722" s="19" t="n"/>
      <c r="E722" s="19" t="n"/>
    </row>
    <row r="723">
      <c r="A723" s="19" t="n"/>
      <c r="B723" s="19" t="n"/>
      <c r="C723" s="19" t="n"/>
      <c r="D723" s="19" t="n"/>
      <c r="E723" s="19" t="n"/>
    </row>
    <row r="724">
      <c r="A724" s="19" t="n"/>
      <c r="B724" s="19" t="n"/>
      <c r="C724" s="19" t="n"/>
      <c r="D724" s="19" t="n"/>
      <c r="E724" s="19" t="n"/>
    </row>
    <row r="725">
      <c r="A725" s="19" t="n"/>
      <c r="B725" s="19" t="n"/>
      <c r="C725" s="19" t="n"/>
      <c r="D725" s="19" t="n"/>
      <c r="E725" s="19" t="n"/>
    </row>
    <row r="726">
      <c r="A726" s="19" t="n"/>
      <c r="B726" s="19" t="n"/>
      <c r="C726" s="19" t="n"/>
      <c r="D726" s="19" t="n"/>
      <c r="E726" s="19" t="n"/>
    </row>
    <row r="727">
      <c r="A727" s="19" t="n"/>
      <c r="B727" s="19" t="n"/>
      <c r="C727" s="19" t="n"/>
      <c r="D727" s="19" t="n"/>
      <c r="E727" s="19" t="n"/>
    </row>
    <row r="728">
      <c r="A728" s="19" t="n"/>
      <c r="B728" s="19" t="n"/>
      <c r="C728" s="19" t="n"/>
      <c r="D728" s="19" t="n"/>
      <c r="E728" s="19" t="n"/>
    </row>
    <row r="729">
      <c r="A729" s="19" t="n"/>
      <c r="B729" s="19" t="n"/>
      <c r="C729" s="19" t="n"/>
      <c r="D729" s="19" t="n"/>
      <c r="E729" s="19" t="n"/>
    </row>
    <row r="730">
      <c r="A730" s="19" t="n"/>
      <c r="B730" s="19" t="n"/>
      <c r="C730" s="19" t="n"/>
      <c r="D730" s="19" t="n"/>
      <c r="E730" s="19" t="n"/>
    </row>
    <row r="731">
      <c r="A731" s="19" t="n"/>
      <c r="B731" s="19" t="n"/>
      <c r="C731" s="19" t="n"/>
      <c r="D731" s="19" t="n"/>
      <c r="E731" s="19" t="n"/>
    </row>
    <row r="732">
      <c r="A732" s="19" t="n"/>
      <c r="B732" s="19" t="n"/>
      <c r="C732" s="19" t="n"/>
      <c r="D732" s="19" t="n"/>
      <c r="E732" s="19" t="n"/>
    </row>
    <row r="733">
      <c r="A733" s="19" t="n"/>
      <c r="B733" s="19" t="n"/>
      <c r="C733" s="19" t="n"/>
      <c r="D733" s="19" t="n"/>
      <c r="E733" s="19" t="n"/>
    </row>
    <row r="734">
      <c r="A734" s="19" t="n"/>
      <c r="B734" s="19" t="n"/>
      <c r="C734" s="19" t="n"/>
      <c r="D734" s="19" t="n"/>
      <c r="E734" s="19" t="n"/>
    </row>
    <row r="735">
      <c r="A735" s="19" t="n"/>
      <c r="B735" s="19" t="n"/>
      <c r="C735" s="19" t="n"/>
      <c r="D735" s="19" t="n"/>
      <c r="E735" s="19" t="n"/>
    </row>
    <row r="736">
      <c r="A736" s="19" t="n"/>
      <c r="B736" s="19" t="n"/>
      <c r="C736" s="19" t="n"/>
      <c r="D736" s="19" t="n"/>
      <c r="E736" s="19" t="n"/>
    </row>
    <row r="737">
      <c r="A737" s="19" t="n"/>
      <c r="B737" s="19" t="n"/>
      <c r="C737" s="19" t="n"/>
      <c r="D737" s="19" t="n"/>
      <c r="E737" s="19" t="n"/>
    </row>
    <row r="738">
      <c r="A738" s="19" t="n"/>
      <c r="B738" s="19" t="n"/>
      <c r="C738" s="19" t="n"/>
      <c r="D738" s="19" t="n"/>
      <c r="E738" s="19" t="n"/>
    </row>
    <row r="739">
      <c r="A739" s="19" t="n"/>
      <c r="B739" s="19" t="n"/>
      <c r="C739" s="19" t="n"/>
      <c r="D739" s="19" t="n"/>
      <c r="E739" s="19" t="n"/>
    </row>
    <row r="740">
      <c r="A740" s="19" t="n"/>
      <c r="B740" s="19" t="n"/>
      <c r="C740" s="19" t="n"/>
      <c r="D740" s="19" t="n"/>
      <c r="E740" s="19" t="n"/>
    </row>
    <row r="741">
      <c r="A741" s="19" t="n"/>
      <c r="B741" s="19" t="n"/>
      <c r="C741" s="19" t="n"/>
      <c r="D741" s="19" t="n"/>
      <c r="E741" s="19" t="n"/>
    </row>
    <row r="742">
      <c r="A742" s="19" t="n"/>
      <c r="B742" s="19" t="n"/>
      <c r="C742" s="19" t="n"/>
      <c r="D742" s="19" t="n"/>
      <c r="E742" s="19" t="n"/>
    </row>
    <row r="743">
      <c r="A743" s="19" t="n"/>
      <c r="B743" s="19" t="n"/>
      <c r="C743" s="19" t="n"/>
      <c r="D743" s="19" t="n"/>
      <c r="E743" s="19" t="n"/>
    </row>
    <row r="744">
      <c r="A744" s="19" t="n"/>
      <c r="B744" s="19" t="n"/>
      <c r="C744" s="19" t="n"/>
      <c r="D744" s="19" t="n"/>
      <c r="E744" s="19" t="n"/>
    </row>
    <row r="745">
      <c r="A745" s="19" t="n"/>
      <c r="B745" s="19" t="n"/>
      <c r="C745" s="19" t="n"/>
      <c r="D745" s="19" t="n"/>
      <c r="E745" s="19" t="n"/>
    </row>
    <row r="746">
      <c r="A746" s="19" t="n"/>
      <c r="B746" s="19" t="n"/>
      <c r="C746" s="19" t="n"/>
      <c r="D746" s="19" t="n"/>
      <c r="E746" s="19" t="n"/>
    </row>
    <row r="747">
      <c r="A747" s="19" t="n"/>
      <c r="B747" s="19" t="n"/>
      <c r="C747" s="19" t="n"/>
      <c r="D747" s="19" t="n"/>
      <c r="E747" s="19" t="n"/>
    </row>
    <row r="748">
      <c r="A748" s="19" t="n"/>
      <c r="B748" s="19" t="n"/>
      <c r="C748" s="19" t="n"/>
      <c r="D748" s="19" t="n"/>
      <c r="E748" s="19" t="n"/>
    </row>
    <row r="749">
      <c r="A749" s="19" t="n"/>
      <c r="B749" s="19" t="n"/>
      <c r="C749" s="19" t="n"/>
      <c r="D749" s="19" t="n"/>
      <c r="E749" s="19" t="n"/>
    </row>
    <row r="750">
      <c r="A750" s="19" t="n"/>
      <c r="B750" s="19" t="n"/>
      <c r="C750" s="19" t="n"/>
      <c r="D750" s="19" t="n"/>
      <c r="E750" s="19" t="n"/>
    </row>
    <row r="751">
      <c r="A751" s="19" t="n"/>
      <c r="B751" s="19" t="n"/>
      <c r="C751" s="19" t="n"/>
      <c r="D751" s="19" t="n"/>
      <c r="E751" s="19" t="n"/>
    </row>
    <row r="752">
      <c r="A752" s="19" t="n"/>
      <c r="B752" s="19" t="n"/>
      <c r="C752" s="19" t="n"/>
      <c r="D752" s="19" t="n"/>
      <c r="E752" s="19" t="n"/>
    </row>
    <row r="753">
      <c r="A753" s="19" t="n"/>
      <c r="B753" s="19" t="n"/>
      <c r="C753" s="19" t="n"/>
      <c r="D753" s="19" t="n"/>
      <c r="E753" s="19" t="n"/>
    </row>
    <row r="754">
      <c r="A754" s="19" t="n"/>
      <c r="B754" s="19" t="n"/>
      <c r="C754" s="19" t="n"/>
      <c r="D754" s="19" t="n"/>
      <c r="E754" s="19" t="n"/>
    </row>
    <row r="755">
      <c r="A755" s="19" t="n"/>
      <c r="B755" s="19" t="n"/>
      <c r="C755" s="19" t="n"/>
      <c r="D755" s="19" t="n"/>
      <c r="E755" s="19" t="n"/>
    </row>
    <row r="756">
      <c r="A756" s="19" t="n"/>
      <c r="B756" s="19" t="n"/>
      <c r="C756" s="19" t="n"/>
      <c r="D756" s="19" t="n"/>
      <c r="E756" s="19" t="n"/>
    </row>
    <row r="757">
      <c r="A757" s="19" t="n"/>
      <c r="B757" s="19" t="n"/>
      <c r="C757" s="19" t="n"/>
      <c r="D757" s="19" t="n"/>
      <c r="E757" s="19" t="n"/>
    </row>
    <row r="758">
      <c r="A758" s="19" t="n"/>
      <c r="B758" s="19" t="n"/>
      <c r="C758" s="19" t="n"/>
      <c r="D758" s="19" t="n"/>
      <c r="E758" s="19" t="n"/>
    </row>
    <row r="759">
      <c r="A759" s="19" t="n"/>
      <c r="B759" s="19" t="n"/>
      <c r="C759" s="19" t="n"/>
      <c r="D759" s="19" t="n"/>
      <c r="E759" s="19" t="n"/>
    </row>
    <row r="760">
      <c r="A760" s="19" t="n"/>
      <c r="B760" s="19" t="n"/>
      <c r="C760" s="19" t="n"/>
      <c r="D760" s="19" t="n"/>
      <c r="E760" s="19" t="n"/>
    </row>
    <row r="761">
      <c r="A761" s="19" t="n"/>
      <c r="B761" s="19" t="n"/>
      <c r="C761" s="19" t="n"/>
      <c r="D761" s="19" t="n"/>
      <c r="E761" s="19" t="n"/>
    </row>
    <row r="762">
      <c r="A762" s="19" t="n"/>
      <c r="B762" s="19" t="n"/>
      <c r="C762" s="19" t="n"/>
      <c r="D762" s="19" t="n"/>
      <c r="E762" s="19" t="n"/>
    </row>
    <row r="763">
      <c r="A763" s="19" t="n"/>
      <c r="B763" s="19" t="n"/>
      <c r="C763" s="19" t="n"/>
      <c r="D763" s="19" t="n"/>
      <c r="E763" s="19" t="n"/>
    </row>
    <row r="764">
      <c r="A764" s="19" t="n"/>
      <c r="B764" s="19" t="n"/>
      <c r="C764" s="19" t="n"/>
      <c r="D764" s="19" t="n"/>
      <c r="E764" s="19" t="n"/>
    </row>
    <row r="765">
      <c r="A765" s="19" t="n"/>
      <c r="B765" s="19" t="n"/>
      <c r="C765" s="19" t="n"/>
      <c r="D765" s="19" t="n"/>
      <c r="E765" s="19" t="n"/>
    </row>
    <row r="766">
      <c r="A766" s="19" t="n"/>
      <c r="B766" s="19" t="n"/>
      <c r="C766" s="19" t="n"/>
      <c r="D766" s="19" t="n"/>
      <c r="E766" s="19" t="n"/>
    </row>
    <row r="767">
      <c r="A767" s="19" t="n"/>
      <c r="B767" s="19" t="n"/>
      <c r="C767" s="19" t="n"/>
      <c r="D767" s="19" t="n"/>
      <c r="E767" s="19" t="n"/>
    </row>
    <row r="768">
      <c r="A768" s="19" t="n"/>
      <c r="B768" s="19" t="n"/>
      <c r="C768" s="19" t="n"/>
      <c r="D768" s="19" t="n"/>
      <c r="E768" s="19" t="n"/>
    </row>
    <row r="769">
      <c r="A769" s="19" t="n"/>
      <c r="B769" s="19" t="n"/>
      <c r="C769" s="19" t="n"/>
      <c r="D769" s="19" t="n"/>
      <c r="E769" s="19" t="n"/>
    </row>
    <row r="770">
      <c r="A770" s="19" t="n"/>
      <c r="B770" s="19" t="n"/>
      <c r="C770" s="19" t="n"/>
      <c r="D770" s="19" t="n"/>
      <c r="E770" s="19" t="n"/>
    </row>
    <row r="771">
      <c r="A771" s="19" t="n"/>
      <c r="B771" s="19" t="n"/>
      <c r="C771" s="19" t="n"/>
      <c r="D771" s="19" t="n"/>
      <c r="E771" s="19" t="n"/>
    </row>
    <row r="772">
      <c r="A772" s="19" t="n"/>
      <c r="B772" s="19" t="n"/>
      <c r="C772" s="19" t="n"/>
      <c r="D772" s="19" t="n"/>
      <c r="E772" s="19" t="n"/>
    </row>
    <row r="773">
      <c r="A773" s="19" t="n"/>
      <c r="B773" s="19" t="n"/>
      <c r="C773" s="19" t="n"/>
      <c r="D773" s="19" t="n"/>
      <c r="E773" s="19" t="n"/>
    </row>
    <row r="774">
      <c r="A774" s="19" t="n"/>
      <c r="B774" s="19" t="n"/>
      <c r="C774" s="19" t="n"/>
      <c r="D774" s="19" t="n"/>
      <c r="E774" s="19" t="n"/>
    </row>
    <row r="775">
      <c r="A775" s="19" t="n"/>
      <c r="B775" s="19" t="n"/>
      <c r="C775" s="19" t="n"/>
      <c r="D775" s="19" t="n"/>
      <c r="E775" s="19" t="n"/>
    </row>
    <row r="776">
      <c r="A776" s="19" t="n"/>
      <c r="B776" s="19" t="n"/>
      <c r="C776" s="19" t="n"/>
      <c r="D776" s="19" t="n"/>
      <c r="E776" s="19" t="n"/>
    </row>
    <row r="777">
      <c r="A777" s="19" t="n"/>
      <c r="B777" s="19" t="n"/>
      <c r="C777" s="19" t="n"/>
      <c r="D777" s="19" t="n"/>
      <c r="E777" s="19" t="n"/>
    </row>
    <row r="778">
      <c r="A778" s="19" t="n"/>
      <c r="B778" s="19" t="n"/>
      <c r="C778" s="19" t="n"/>
      <c r="D778" s="19" t="n"/>
      <c r="E778" s="19" t="n"/>
    </row>
    <row r="779">
      <c r="A779" s="19" t="n"/>
      <c r="B779" s="19" t="n"/>
      <c r="C779" s="19" t="n"/>
      <c r="D779" s="19" t="n"/>
      <c r="E779" s="19" t="n"/>
    </row>
    <row r="780">
      <c r="A780" s="19" t="n"/>
      <c r="B780" s="19" t="n"/>
      <c r="C780" s="19" t="n"/>
      <c r="D780" s="19" t="n"/>
      <c r="E780" s="19" t="n"/>
    </row>
    <row r="781">
      <c r="A781" s="19" t="n"/>
      <c r="B781" s="19" t="n"/>
      <c r="C781" s="19" t="n"/>
      <c r="D781" s="19" t="n"/>
      <c r="E781" s="19" t="n"/>
    </row>
    <row r="782">
      <c r="A782" s="19" t="n"/>
      <c r="B782" s="19" t="n"/>
      <c r="C782" s="19" t="n"/>
      <c r="D782" s="19" t="n"/>
      <c r="E782" s="19" t="n"/>
    </row>
    <row r="783">
      <c r="A783" s="19" t="n"/>
      <c r="B783" s="19" t="n"/>
      <c r="C783" s="19" t="n"/>
      <c r="D783" s="19" t="n"/>
      <c r="E783" s="19" t="n"/>
    </row>
    <row r="784">
      <c r="A784" s="19" t="n"/>
      <c r="B784" s="19" t="n"/>
      <c r="C784" s="19" t="n"/>
      <c r="D784" s="19" t="n"/>
      <c r="E784" s="19" t="n"/>
    </row>
    <row r="785">
      <c r="A785" s="19" t="n"/>
      <c r="B785" s="19" t="n"/>
      <c r="C785" s="19" t="n"/>
      <c r="D785" s="19" t="n"/>
      <c r="E785" s="19" t="n"/>
    </row>
    <row r="786">
      <c r="A786" s="19" t="n"/>
      <c r="B786" s="19" t="n"/>
      <c r="C786" s="19" t="n"/>
      <c r="D786" s="19" t="n"/>
      <c r="E786" s="19" t="n"/>
    </row>
    <row r="787">
      <c r="A787" s="19" t="n"/>
      <c r="B787" s="19" t="n"/>
      <c r="C787" s="19" t="n"/>
      <c r="D787" s="19" t="n"/>
      <c r="E787" s="19" t="n"/>
    </row>
    <row r="788">
      <c r="A788" s="19" t="n"/>
      <c r="B788" s="19" t="n"/>
      <c r="C788" s="19" t="n"/>
      <c r="D788" s="19" t="n"/>
      <c r="E788" s="19" t="n"/>
    </row>
    <row r="789">
      <c r="A789" s="19" t="n"/>
      <c r="B789" s="19" t="n"/>
      <c r="C789" s="19" t="n"/>
      <c r="D789" s="19" t="n"/>
      <c r="E789" s="19" t="n"/>
    </row>
    <row r="790">
      <c r="A790" s="19" t="n"/>
      <c r="B790" s="19" t="n"/>
      <c r="C790" s="19" t="n"/>
      <c r="D790" s="19" t="n"/>
      <c r="E790" s="19" t="n"/>
    </row>
    <row r="791">
      <c r="A791" s="19" t="n"/>
      <c r="B791" s="19" t="n"/>
      <c r="C791" s="19" t="n"/>
      <c r="D791" s="19" t="n"/>
      <c r="E791" s="19" t="n"/>
    </row>
    <row r="792">
      <c r="A792" s="19" t="n"/>
      <c r="B792" s="19" t="n"/>
      <c r="C792" s="19" t="n"/>
      <c r="D792" s="19" t="n"/>
      <c r="E792" s="19" t="n"/>
    </row>
    <row r="793">
      <c r="A793" s="19" t="n"/>
      <c r="B793" s="19" t="n"/>
      <c r="C793" s="19" t="n"/>
      <c r="D793" s="19" t="n"/>
      <c r="E793" s="19" t="n"/>
    </row>
    <row r="794">
      <c r="A794" s="19" t="n"/>
      <c r="B794" s="19" t="n"/>
      <c r="C794" s="19" t="n"/>
      <c r="D794" s="19" t="n"/>
      <c r="E794" s="19" t="n"/>
    </row>
    <row r="795">
      <c r="A795" s="19" t="n"/>
      <c r="B795" s="19" t="n"/>
      <c r="C795" s="19" t="n"/>
      <c r="D795" s="19" t="n"/>
      <c r="E795" s="19" t="n"/>
    </row>
    <row r="796">
      <c r="A796" s="19" t="n"/>
      <c r="B796" s="19" t="n"/>
      <c r="C796" s="19" t="n"/>
      <c r="D796" s="19" t="n"/>
      <c r="E796" s="19" t="n"/>
    </row>
    <row r="797">
      <c r="A797" s="19" t="n"/>
      <c r="B797" s="19" t="n"/>
      <c r="C797" s="19" t="n"/>
      <c r="D797" s="19" t="n"/>
      <c r="E797" s="19" t="n"/>
    </row>
    <row r="798">
      <c r="A798" s="19" t="n"/>
      <c r="B798" s="19" t="n"/>
      <c r="C798" s="19" t="n"/>
      <c r="D798" s="19" t="n"/>
      <c r="E798" s="19" t="n"/>
    </row>
    <row r="799">
      <c r="A799" s="19" t="n"/>
      <c r="B799" s="19" t="n"/>
      <c r="C799" s="19" t="n"/>
      <c r="D799" s="19" t="n"/>
      <c r="E799" s="19" t="n"/>
    </row>
    <row r="800">
      <c r="A800" s="19" t="n"/>
      <c r="B800" s="19" t="n"/>
      <c r="C800" s="19" t="n"/>
      <c r="D800" s="19" t="n"/>
      <c r="E800" s="19" t="n"/>
    </row>
    <row r="801">
      <c r="A801" s="19" t="n"/>
      <c r="B801" s="19" t="n"/>
      <c r="C801" s="19" t="n"/>
      <c r="D801" s="19" t="n"/>
      <c r="E801" s="19" t="n"/>
    </row>
    <row r="802">
      <c r="A802" s="19" t="n"/>
      <c r="B802" s="19" t="n"/>
      <c r="C802" s="19" t="n"/>
      <c r="D802" s="19" t="n"/>
      <c r="E802" s="19" t="n"/>
    </row>
    <row r="803">
      <c r="A803" s="19" t="n"/>
      <c r="B803" s="19" t="n"/>
      <c r="C803" s="19" t="n"/>
      <c r="D803" s="19" t="n"/>
      <c r="E803" s="19" t="n"/>
    </row>
    <row r="804">
      <c r="A804" s="19" t="n"/>
      <c r="B804" s="19" t="n"/>
      <c r="C804" s="19" t="n"/>
      <c r="D804" s="19" t="n"/>
      <c r="E804" s="19" t="n"/>
    </row>
    <row r="805">
      <c r="A805" s="19" t="n"/>
      <c r="B805" s="19" t="n"/>
      <c r="C805" s="19" t="n"/>
      <c r="D805" s="19" t="n"/>
      <c r="E805" s="19" t="n"/>
    </row>
    <row r="806">
      <c r="A806" s="19" t="n"/>
      <c r="B806" s="19" t="n"/>
      <c r="C806" s="19" t="n"/>
      <c r="D806" s="19" t="n"/>
      <c r="E806" s="19" t="n"/>
    </row>
    <row r="807">
      <c r="A807" s="19" t="n"/>
      <c r="B807" s="19" t="n"/>
      <c r="C807" s="19" t="n"/>
      <c r="D807" s="19" t="n"/>
      <c r="E807" s="19" t="n"/>
    </row>
    <row r="808">
      <c r="A808" s="19" t="n"/>
      <c r="B808" s="19" t="n"/>
      <c r="C808" s="19" t="n"/>
      <c r="D808" s="19" t="n"/>
      <c r="E808" s="19" t="n"/>
    </row>
    <row r="809">
      <c r="A809" s="19" t="n"/>
      <c r="B809" s="19" t="n"/>
      <c r="C809" s="19" t="n"/>
      <c r="D809" s="19" t="n"/>
      <c r="E809" s="19" t="n"/>
    </row>
    <row r="810">
      <c r="A810" s="19" t="n"/>
      <c r="B810" s="19" t="n"/>
      <c r="C810" s="19" t="n"/>
      <c r="D810" s="19" t="n"/>
      <c r="E810" s="19" t="n"/>
    </row>
    <row r="811">
      <c r="A811" s="19" t="n"/>
      <c r="B811" s="19" t="n"/>
      <c r="C811" s="19" t="n"/>
      <c r="D811" s="19" t="n"/>
      <c r="E811" s="19" t="n"/>
    </row>
    <row r="812">
      <c r="A812" s="19" t="n"/>
      <c r="B812" s="19" t="n"/>
      <c r="C812" s="19" t="n"/>
      <c r="D812" s="19" t="n"/>
      <c r="E812" s="19" t="n"/>
    </row>
    <row r="813">
      <c r="A813" s="19" t="n"/>
      <c r="B813" s="19" t="n"/>
      <c r="C813" s="19" t="n"/>
      <c r="D813" s="19" t="n"/>
      <c r="E813" s="19" t="n"/>
    </row>
    <row r="814">
      <c r="A814" s="19" t="n"/>
      <c r="B814" s="19" t="n"/>
      <c r="C814" s="19" t="n"/>
      <c r="D814" s="19" t="n"/>
      <c r="E814" s="19" t="n"/>
    </row>
    <row r="815">
      <c r="A815" s="19" t="n"/>
      <c r="B815" s="19" t="n"/>
      <c r="C815" s="19" t="n"/>
      <c r="D815" s="19" t="n"/>
      <c r="E815" s="19" t="n"/>
    </row>
    <row r="816">
      <c r="A816" s="19" t="n"/>
      <c r="B816" s="19" t="n"/>
      <c r="C816" s="19" t="n"/>
      <c r="D816" s="19" t="n"/>
      <c r="E816" s="19" t="n"/>
    </row>
    <row r="817">
      <c r="A817" s="19" t="n"/>
      <c r="B817" s="19" t="n"/>
      <c r="C817" s="19" t="n"/>
      <c r="D817" s="19" t="n"/>
      <c r="E817" s="19" t="n"/>
    </row>
    <row r="818">
      <c r="A818" s="19" t="n"/>
      <c r="B818" s="19" t="n"/>
      <c r="C818" s="19" t="n"/>
      <c r="D818" s="19" t="n"/>
      <c r="E818" s="19" t="n"/>
    </row>
    <row r="819">
      <c r="A819" s="19" t="n"/>
      <c r="B819" s="19" t="n"/>
      <c r="C819" s="19" t="n"/>
      <c r="D819" s="19" t="n"/>
      <c r="E819" s="19" t="n"/>
    </row>
    <row r="820">
      <c r="A820" s="19" t="n"/>
      <c r="B820" s="19" t="n"/>
      <c r="C820" s="19" t="n"/>
      <c r="D820" s="19" t="n"/>
      <c r="E820" s="19" t="n"/>
    </row>
    <row r="821">
      <c r="A821" s="19" t="n"/>
      <c r="B821" s="19" t="n"/>
      <c r="C821" s="19" t="n"/>
      <c r="D821" s="19" t="n"/>
      <c r="E821" s="19" t="n"/>
    </row>
    <row r="822">
      <c r="A822" s="19" t="n"/>
      <c r="B822" s="19" t="n"/>
      <c r="C822" s="19" t="n"/>
      <c r="D822" s="19" t="n"/>
      <c r="E822" s="19" t="n"/>
    </row>
    <row r="823">
      <c r="A823" s="19" t="n"/>
      <c r="B823" s="19" t="n"/>
      <c r="C823" s="19" t="n"/>
      <c r="D823" s="19" t="n"/>
      <c r="E823" s="19" t="n"/>
    </row>
    <row r="824">
      <c r="A824" s="19" t="n"/>
      <c r="B824" s="19" t="n"/>
      <c r="C824" s="19" t="n"/>
      <c r="D824" s="19" t="n"/>
      <c r="E824" s="19" t="n"/>
    </row>
    <row r="825">
      <c r="A825" s="19" t="n"/>
      <c r="B825" s="19" t="n"/>
      <c r="C825" s="19" t="n"/>
      <c r="D825" s="19" t="n"/>
      <c r="E825" s="19" t="n"/>
    </row>
    <row r="826">
      <c r="A826" s="19" t="n"/>
      <c r="B826" s="19" t="n"/>
      <c r="C826" s="19" t="n"/>
      <c r="D826" s="19" t="n"/>
      <c r="E826" s="19" t="n"/>
    </row>
    <row r="827">
      <c r="A827" s="19" t="n"/>
      <c r="B827" s="19" t="n"/>
      <c r="C827" s="19" t="n"/>
      <c r="D827" s="19" t="n"/>
      <c r="E827" s="19" t="n"/>
    </row>
    <row r="828">
      <c r="A828" s="19" t="n"/>
      <c r="B828" s="19" t="n"/>
      <c r="C828" s="19" t="n"/>
      <c r="D828" s="19" t="n"/>
      <c r="E828" s="19" t="n"/>
    </row>
    <row r="829">
      <c r="A829" s="19" t="n"/>
      <c r="B829" s="19" t="n"/>
      <c r="C829" s="19" t="n"/>
      <c r="D829" s="19" t="n"/>
      <c r="E829" s="19" t="n"/>
    </row>
    <row r="830">
      <c r="A830" s="19" t="n"/>
      <c r="B830" s="19" t="n"/>
      <c r="C830" s="19" t="n"/>
      <c r="D830" s="19" t="n"/>
      <c r="E830" s="19" t="n"/>
    </row>
    <row r="831">
      <c r="A831" s="19" t="n"/>
      <c r="B831" s="19" t="n"/>
      <c r="C831" s="19" t="n"/>
      <c r="D831" s="19" t="n"/>
      <c r="E831" s="19" t="n"/>
    </row>
    <row r="832">
      <c r="A832" s="19" t="n"/>
      <c r="B832" s="19" t="n"/>
      <c r="C832" s="19" t="n"/>
      <c r="D832" s="19" t="n"/>
      <c r="E832" s="19" t="n"/>
    </row>
    <row r="833">
      <c r="A833" s="19" t="n"/>
      <c r="B833" s="19" t="n"/>
      <c r="C833" s="19" t="n"/>
      <c r="D833" s="19" t="n"/>
      <c r="E833" s="19" t="n"/>
    </row>
    <row r="834">
      <c r="A834" s="19" t="n"/>
      <c r="B834" s="19" t="n"/>
      <c r="C834" s="19" t="n"/>
      <c r="D834" s="19" t="n"/>
      <c r="E834" s="19" t="n"/>
    </row>
    <row r="835">
      <c r="A835" s="19" t="n"/>
      <c r="B835" s="19" t="n"/>
      <c r="C835" s="19" t="n"/>
      <c r="D835" s="19" t="n"/>
      <c r="E835" s="19" t="n"/>
    </row>
    <row r="836">
      <c r="A836" s="19" t="n"/>
      <c r="B836" s="19" t="n"/>
      <c r="C836" s="19" t="n"/>
      <c r="D836" s="19" t="n"/>
      <c r="E836" s="19" t="n"/>
    </row>
    <row r="837">
      <c r="A837" s="19" t="n"/>
      <c r="B837" s="19" t="n"/>
      <c r="C837" s="19" t="n"/>
      <c r="D837" s="19" t="n"/>
      <c r="E837" s="19" t="n"/>
    </row>
    <row r="838">
      <c r="A838" s="19" t="n"/>
      <c r="B838" s="19" t="n"/>
      <c r="C838" s="19" t="n"/>
      <c r="D838" s="19" t="n"/>
      <c r="E838" s="19" t="n"/>
    </row>
    <row r="839">
      <c r="A839" s="19" t="n"/>
      <c r="B839" s="19" t="n"/>
      <c r="C839" s="19" t="n"/>
      <c r="D839" s="19" t="n"/>
      <c r="E839" s="19" t="n"/>
    </row>
    <row r="840">
      <c r="A840" s="19" t="n"/>
      <c r="B840" s="19" t="n"/>
      <c r="C840" s="19" t="n"/>
      <c r="D840" s="19" t="n"/>
      <c r="E840" s="19" t="n"/>
    </row>
    <row r="841">
      <c r="A841" s="19" t="n"/>
      <c r="B841" s="19" t="n"/>
      <c r="C841" s="19" t="n"/>
      <c r="D841" s="19" t="n"/>
      <c r="E841" s="19" t="n"/>
    </row>
    <row r="842">
      <c r="A842" s="19" t="n"/>
      <c r="B842" s="19" t="n"/>
      <c r="C842" s="19" t="n"/>
      <c r="D842" s="19" t="n"/>
      <c r="E842" s="19" t="n"/>
    </row>
    <row r="843">
      <c r="A843" s="19" t="n"/>
      <c r="B843" s="19" t="n"/>
      <c r="C843" s="19" t="n"/>
      <c r="D843" s="19" t="n"/>
      <c r="E843" s="19" t="n"/>
    </row>
    <row r="844">
      <c r="A844" s="19" t="n"/>
      <c r="B844" s="19" t="n"/>
      <c r="C844" s="19" t="n"/>
      <c r="D844" s="19" t="n"/>
      <c r="E844" s="19" t="n"/>
    </row>
    <row r="845">
      <c r="A845" s="19" t="n"/>
      <c r="B845" s="19" t="n"/>
      <c r="C845" s="19" t="n"/>
      <c r="D845" s="19" t="n"/>
      <c r="E845" s="19" t="n"/>
    </row>
    <row r="846">
      <c r="A846" s="19" t="n"/>
      <c r="B846" s="19" t="n"/>
      <c r="C846" s="19" t="n"/>
      <c r="D846" s="19" t="n"/>
      <c r="E846" s="19" t="n"/>
    </row>
    <row r="847">
      <c r="A847" s="19" t="n"/>
      <c r="B847" s="19" t="n"/>
      <c r="C847" s="19" t="n"/>
      <c r="D847" s="19" t="n"/>
      <c r="E847" s="19" t="n"/>
    </row>
    <row r="848">
      <c r="A848" s="19" t="n"/>
      <c r="B848" s="19" t="n"/>
      <c r="C848" s="19" t="n"/>
      <c r="D848" s="19" t="n"/>
      <c r="E848" s="19" t="n"/>
    </row>
    <row r="849">
      <c r="A849" s="19" t="n"/>
      <c r="B849" s="19" t="n"/>
      <c r="C849" s="19" t="n"/>
      <c r="D849" s="19" t="n"/>
      <c r="E849" s="19" t="n"/>
    </row>
    <row r="850">
      <c r="A850" s="19" t="n"/>
      <c r="B850" s="19" t="n"/>
      <c r="C850" s="19" t="n"/>
      <c r="D850" s="19" t="n"/>
      <c r="E850" s="19" t="n"/>
    </row>
    <row r="851">
      <c r="A851" s="19" t="n"/>
      <c r="B851" s="19" t="n"/>
      <c r="C851" s="19" t="n"/>
      <c r="D851" s="19" t="n"/>
      <c r="E851" s="19" t="n"/>
    </row>
    <row r="852">
      <c r="A852" s="19" t="n"/>
      <c r="B852" s="19" t="n"/>
      <c r="C852" s="19" t="n"/>
      <c r="D852" s="19" t="n"/>
      <c r="E852" s="19" t="n"/>
    </row>
    <row r="853">
      <c r="A853" s="19" t="n"/>
      <c r="B853" s="19" t="n"/>
      <c r="C853" s="19" t="n"/>
      <c r="D853" s="19" t="n"/>
      <c r="E853" s="19" t="n"/>
    </row>
    <row r="854">
      <c r="A854" s="19" t="n"/>
      <c r="B854" s="19" t="n"/>
      <c r="C854" s="19" t="n"/>
      <c r="D854" s="19" t="n"/>
      <c r="E854" s="19" t="n"/>
    </row>
    <row r="855">
      <c r="A855" s="19" t="n"/>
      <c r="B855" s="19" t="n"/>
      <c r="C855" s="19" t="n"/>
      <c r="D855" s="19" t="n"/>
      <c r="E855" s="19" t="n"/>
    </row>
    <row r="856">
      <c r="A856" s="19" t="n"/>
      <c r="B856" s="19" t="n"/>
      <c r="C856" s="19" t="n"/>
      <c r="D856" s="19" t="n"/>
      <c r="E856" s="19" t="n"/>
    </row>
    <row r="857">
      <c r="A857" s="19" t="n"/>
      <c r="B857" s="19" t="n"/>
      <c r="C857" s="19" t="n"/>
      <c r="D857" s="19" t="n"/>
      <c r="E857" s="19" t="n"/>
    </row>
    <row r="858">
      <c r="A858" s="19" t="n"/>
      <c r="B858" s="19" t="n"/>
      <c r="C858" s="19" t="n"/>
      <c r="D858" s="19" t="n"/>
      <c r="E858" s="19" t="n"/>
    </row>
    <row r="859">
      <c r="A859" s="19" t="n"/>
      <c r="B859" s="19" t="n"/>
      <c r="C859" s="19" t="n"/>
      <c r="D859" s="19" t="n"/>
      <c r="E859" s="19" t="n"/>
    </row>
    <row r="860">
      <c r="A860" s="19" t="n"/>
      <c r="B860" s="19" t="n"/>
      <c r="C860" s="19" t="n"/>
      <c r="D860" s="19" t="n"/>
      <c r="E860" s="19" t="n"/>
    </row>
    <row r="861">
      <c r="A861" s="19" t="n"/>
      <c r="B861" s="19" t="n"/>
      <c r="C861" s="19" t="n"/>
      <c r="D861" s="19" t="n"/>
      <c r="E861" s="19" t="n"/>
    </row>
    <row r="862">
      <c r="A862" s="19" t="n"/>
      <c r="B862" s="19" t="n"/>
      <c r="C862" s="19" t="n"/>
      <c r="D862" s="19" t="n"/>
      <c r="E862" s="19" t="n"/>
    </row>
    <row r="863">
      <c r="A863" s="19" t="n"/>
      <c r="B863" s="19" t="n"/>
      <c r="C863" s="19" t="n"/>
      <c r="D863" s="19" t="n"/>
      <c r="E863" s="19" t="n"/>
    </row>
    <row r="864">
      <c r="A864" s="19" t="n"/>
      <c r="B864" s="19" t="n"/>
      <c r="C864" s="19" t="n"/>
      <c r="D864" s="19" t="n"/>
      <c r="E864" s="19" t="n"/>
    </row>
    <row r="865">
      <c r="A865" s="19" t="n"/>
      <c r="B865" s="19" t="n"/>
      <c r="C865" s="19" t="n"/>
      <c r="D865" s="19" t="n"/>
      <c r="E865" s="19" t="n"/>
    </row>
    <row r="866">
      <c r="A866" s="19" t="n"/>
      <c r="B866" s="19" t="n"/>
      <c r="C866" s="19" t="n"/>
      <c r="D866" s="19" t="n"/>
      <c r="E866" s="19" t="n"/>
    </row>
    <row r="867">
      <c r="A867" s="19" t="n"/>
      <c r="B867" s="19" t="n"/>
      <c r="C867" s="19" t="n"/>
      <c r="D867" s="19" t="n"/>
      <c r="E867" s="19" t="n"/>
    </row>
    <row r="868">
      <c r="A868" s="19" t="n"/>
      <c r="B868" s="19" t="n"/>
      <c r="C868" s="19" t="n"/>
      <c r="D868" s="19" t="n"/>
      <c r="E868" s="19" t="n"/>
    </row>
    <row r="869">
      <c r="A869" s="19" t="n"/>
      <c r="B869" s="19" t="n"/>
      <c r="C869" s="19" t="n"/>
      <c r="D869" s="19" t="n"/>
      <c r="E869" s="19" t="n"/>
    </row>
    <row r="870">
      <c r="A870" s="19" t="n"/>
      <c r="B870" s="19" t="n"/>
      <c r="C870" s="19" t="n"/>
      <c r="D870" s="19" t="n"/>
      <c r="E870" s="19" t="n"/>
    </row>
    <row r="871">
      <c r="A871" s="19" t="n"/>
      <c r="B871" s="19" t="n"/>
      <c r="C871" s="19" t="n"/>
      <c r="D871" s="19" t="n"/>
      <c r="E871" s="19" t="n"/>
    </row>
    <row r="872">
      <c r="A872" s="19" t="n"/>
      <c r="B872" s="19" t="n"/>
      <c r="C872" s="19" t="n"/>
      <c r="D872" s="19" t="n"/>
      <c r="E872" s="19" t="n"/>
    </row>
    <row r="873">
      <c r="A873" s="19" t="n"/>
      <c r="B873" s="19" t="n"/>
      <c r="C873" s="19" t="n"/>
      <c r="D873" s="19" t="n"/>
      <c r="E873" s="19" t="n"/>
    </row>
    <row r="874">
      <c r="A874" s="19" t="n"/>
      <c r="B874" s="19" t="n"/>
      <c r="C874" s="19" t="n"/>
      <c r="D874" s="19" t="n"/>
      <c r="E874" s="19" t="n"/>
    </row>
    <row r="875">
      <c r="A875" s="19" t="n"/>
      <c r="B875" s="19" t="n"/>
      <c r="C875" s="19" t="n"/>
      <c r="D875" s="19" t="n"/>
      <c r="E875" s="19" t="n"/>
    </row>
    <row r="876">
      <c r="A876" s="19" t="n"/>
      <c r="B876" s="19" t="n"/>
      <c r="C876" s="19" t="n"/>
      <c r="D876" s="19" t="n"/>
      <c r="E876" s="19" t="n"/>
    </row>
    <row r="877">
      <c r="A877" s="19" t="n"/>
      <c r="B877" s="19" t="n"/>
      <c r="C877" s="19" t="n"/>
      <c r="D877" s="19" t="n"/>
      <c r="E877" s="19" t="n"/>
    </row>
    <row r="878">
      <c r="A878" s="19" t="n"/>
      <c r="B878" s="19" t="n"/>
      <c r="C878" s="19" t="n"/>
      <c r="D878" s="19" t="n"/>
      <c r="E878" s="19" t="n"/>
    </row>
    <row r="879">
      <c r="A879" s="19" t="n"/>
      <c r="B879" s="19" t="n"/>
      <c r="C879" s="19" t="n"/>
      <c r="D879" s="19" t="n"/>
      <c r="E879" s="19" t="n"/>
    </row>
    <row r="880">
      <c r="A880" s="19" t="n"/>
      <c r="B880" s="19" t="n"/>
      <c r="C880" s="19" t="n"/>
      <c r="D880" s="19" t="n"/>
      <c r="E880" s="19" t="n"/>
    </row>
    <row r="881">
      <c r="A881" s="19" t="n"/>
      <c r="B881" s="19" t="n"/>
      <c r="C881" s="19" t="n"/>
      <c r="D881" s="19" t="n"/>
      <c r="E881" s="19" t="n"/>
    </row>
    <row r="882">
      <c r="A882" s="19" t="n"/>
      <c r="B882" s="19" t="n"/>
      <c r="C882" s="19" t="n"/>
      <c r="D882" s="19" t="n"/>
      <c r="E882" s="19" t="n"/>
    </row>
    <row r="883">
      <c r="A883" s="19" t="n"/>
      <c r="B883" s="19" t="n"/>
      <c r="C883" s="19" t="n"/>
      <c r="D883" s="19" t="n"/>
      <c r="E883" s="19" t="n"/>
    </row>
    <row r="884">
      <c r="A884" s="19" t="n"/>
      <c r="B884" s="19" t="n"/>
      <c r="C884" s="19" t="n"/>
      <c r="D884" s="19" t="n"/>
      <c r="E884" s="19" t="n"/>
    </row>
    <row r="885">
      <c r="A885" s="19" t="n"/>
      <c r="B885" s="19" t="n"/>
      <c r="C885" s="19" t="n"/>
      <c r="D885" s="19" t="n"/>
      <c r="E885" s="19" t="n"/>
    </row>
    <row r="886">
      <c r="A886" s="19" t="n"/>
      <c r="B886" s="19" t="n"/>
      <c r="C886" s="19" t="n"/>
      <c r="D886" s="19" t="n"/>
      <c r="E886" s="19" t="n"/>
    </row>
    <row r="887">
      <c r="A887" s="19" t="n"/>
      <c r="B887" s="19" t="n"/>
      <c r="C887" s="19" t="n"/>
      <c r="D887" s="19" t="n"/>
      <c r="E887" s="19" t="n"/>
    </row>
    <row r="888">
      <c r="A888" s="19" t="n"/>
      <c r="B888" s="19" t="n"/>
      <c r="C888" s="19" t="n"/>
      <c r="D888" s="19" t="n"/>
      <c r="E888" s="19" t="n"/>
    </row>
    <row r="889">
      <c r="A889" s="19" t="n"/>
      <c r="B889" s="19" t="n"/>
      <c r="C889" s="19" t="n"/>
      <c r="D889" s="19" t="n"/>
      <c r="E889" s="19" t="n"/>
    </row>
    <row r="890">
      <c r="A890" s="19" t="n"/>
      <c r="B890" s="19" t="n"/>
      <c r="C890" s="19" t="n"/>
      <c r="D890" s="19" t="n"/>
      <c r="E890" s="19" t="n"/>
    </row>
    <row r="891">
      <c r="A891" s="19" t="n"/>
      <c r="B891" s="19" t="n"/>
      <c r="C891" s="19" t="n"/>
      <c r="D891" s="19" t="n"/>
      <c r="E891" s="19" t="n"/>
    </row>
    <row r="892">
      <c r="A892" s="19" t="n"/>
      <c r="B892" s="19" t="n"/>
      <c r="C892" s="19" t="n"/>
      <c r="D892" s="19" t="n"/>
      <c r="E892" s="19" t="n"/>
    </row>
    <row r="893">
      <c r="A893" s="19" t="n"/>
      <c r="B893" s="19" t="n"/>
      <c r="C893" s="19" t="n"/>
      <c r="D893" s="19" t="n"/>
      <c r="E893" s="19" t="n"/>
    </row>
    <row r="894">
      <c r="A894" s="19" t="n"/>
      <c r="B894" s="19" t="n"/>
      <c r="C894" s="19" t="n"/>
      <c r="D894" s="19" t="n"/>
      <c r="E894" s="19" t="n"/>
    </row>
    <row r="895">
      <c r="A895" s="19" t="n"/>
      <c r="B895" s="19" t="n"/>
      <c r="C895" s="19" t="n"/>
      <c r="D895" s="19" t="n"/>
      <c r="E895" s="19" t="n"/>
    </row>
    <row r="896">
      <c r="A896" s="19" t="n"/>
      <c r="B896" s="19" t="n"/>
      <c r="C896" s="19" t="n"/>
      <c r="D896" s="19" t="n"/>
      <c r="E896" s="19" t="n"/>
    </row>
    <row r="897">
      <c r="A897" s="19" t="n"/>
      <c r="B897" s="19" t="n"/>
      <c r="C897" s="19" t="n"/>
      <c r="D897" s="19" t="n"/>
      <c r="E897" s="19" t="n"/>
    </row>
    <row r="898">
      <c r="A898" s="19" t="n"/>
      <c r="B898" s="19" t="n"/>
      <c r="C898" s="19" t="n"/>
      <c r="D898" s="19" t="n"/>
      <c r="E898" s="19" t="n"/>
    </row>
    <row r="899">
      <c r="A899" s="19" t="n"/>
      <c r="B899" s="19" t="n"/>
      <c r="C899" s="19" t="n"/>
      <c r="D899" s="19" t="n"/>
      <c r="E899" s="19" t="n"/>
    </row>
    <row r="900">
      <c r="A900" s="19" t="n"/>
      <c r="B900" s="19" t="n"/>
      <c r="C900" s="19" t="n"/>
      <c r="D900" s="19" t="n"/>
      <c r="E900" s="19" t="n"/>
    </row>
    <row r="901">
      <c r="A901" s="19" t="n"/>
      <c r="B901" s="19" t="n"/>
      <c r="C901" s="19" t="n"/>
      <c r="D901" s="19" t="n"/>
      <c r="E901" s="19" t="n"/>
    </row>
    <row r="902">
      <c r="A902" s="19" t="n"/>
      <c r="B902" s="19" t="n"/>
      <c r="C902" s="19" t="n"/>
      <c r="D902" s="19" t="n"/>
      <c r="E902" s="19" t="n"/>
    </row>
    <row r="903">
      <c r="A903" s="19" t="n"/>
      <c r="B903" s="19" t="n"/>
      <c r="C903" s="19" t="n"/>
      <c r="D903" s="19" t="n"/>
      <c r="E903" s="19" t="n"/>
    </row>
    <row r="904">
      <c r="A904" s="19" t="n"/>
      <c r="B904" s="19" t="n"/>
      <c r="C904" s="19" t="n"/>
      <c r="D904" s="19" t="n"/>
      <c r="E904" s="19" t="n"/>
    </row>
    <row r="905">
      <c r="A905" s="19" t="n"/>
      <c r="B905" s="19" t="n"/>
      <c r="C905" s="19" t="n"/>
      <c r="D905" s="19" t="n"/>
      <c r="E905" s="19" t="n"/>
    </row>
    <row r="906">
      <c r="A906" s="19" t="n"/>
      <c r="B906" s="19" t="n"/>
      <c r="C906" s="19" t="n"/>
      <c r="D906" s="19" t="n"/>
      <c r="E906" s="19" t="n"/>
    </row>
    <row r="907">
      <c r="A907" s="19" t="n"/>
      <c r="B907" s="19" t="n"/>
      <c r="C907" s="19" t="n"/>
      <c r="D907" s="19" t="n"/>
      <c r="E907" s="19" t="n"/>
    </row>
    <row r="908">
      <c r="A908" s="19" t="n"/>
      <c r="B908" s="19" t="n"/>
      <c r="C908" s="19" t="n"/>
      <c r="D908" s="19" t="n"/>
      <c r="E908" s="19" t="n"/>
    </row>
    <row r="909">
      <c r="A909" s="19" t="n"/>
      <c r="B909" s="19" t="n"/>
      <c r="C909" s="19" t="n"/>
      <c r="D909" s="19" t="n"/>
      <c r="E909" s="19" t="n"/>
    </row>
    <row r="910">
      <c r="A910" s="19" t="n"/>
      <c r="B910" s="19" t="n"/>
      <c r="C910" s="19" t="n"/>
      <c r="D910" s="19" t="n"/>
      <c r="E910" s="19" t="n"/>
    </row>
    <row r="911">
      <c r="A911" s="19" t="n"/>
      <c r="B911" s="19" t="n"/>
      <c r="C911" s="19" t="n"/>
      <c r="D911" s="19" t="n"/>
      <c r="E911" s="19" t="n"/>
    </row>
    <row r="912">
      <c r="A912" s="19" t="n"/>
      <c r="B912" s="19" t="n"/>
      <c r="C912" s="19" t="n"/>
      <c r="D912" s="19" t="n"/>
      <c r="E912" s="19" t="n"/>
    </row>
    <row r="913">
      <c r="A913" s="19" t="n"/>
      <c r="B913" s="19" t="n"/>
      <c r="C913" s="19" t="n"/>
      <c r="D913" s="19" t="n"/>
      <c r="E913" s="19" t="n"/>
    </row>
    <row r="914">
      <c r="A914" s="19" t="n"/>
      <c r="B914" s="19" t="n"/>
      <c r="C914" s="19" t="n"/>
      <c r="D914" s="19" t="n"/>
      <c r="E914" s="19" t="n"/>
    </row>
    <row r="915">
      <c r="A915" s="19" t="n"/>
      <c r="B915" s="19" t="n"/>
      <c r="C915" s="19" t="n"/>
      <c r="D915" s="19" t="n"/>
      <c r="E915" s="19" t="n"/>
    </row>
    <row r="916">
      <c r="A916" s="19" t="n"/>
      <c r="B916" s="19" t="n"/>
      <c r="C916" s="19" t="n"/>
      <c r="D916" s="19" t="n"/>
      <c r="E916" s="19" t="n"/>
    </row>
    <row r="917">
      <c r="A917" s="19" t="n"/>
      <c r="B917" s="19" t="n"/>
      <c r="C917" s="19" t="n"/>
      <c r="D917" s="19" t="n"/>
      <c r="E917" s="19" t="n"/>
    </row>
    <row r="918">
      <c r="A918" s="19" t="n"/>
      <c r="B918" s="19" t="n"/>
      <c r="C918" s="19" t="n"/>
      <c r="D918" s="19" t="n"/>
      <c r="E918" s="19" t="n"/>
    </row>
    <row r="919">
      <c r="A919" s="19" t="n"/>
      <c r="B919" s="19" t="n"/>
      <c r="C919" s="19" t="n"/>
      <c r="D919" s="19" t="n"/>
      <c r="E919" s="19" t="n"/>
    </row>
    <row r="920">
      <c r="A920" s="19" t="n"/>
      <c r="B920" s="19" t="n"/>
      <c r="C920" s="19" t="n"/>
      <c r="D920" s="19" t="n"/>
      <c r="E920" s="19" t="n"/>
    </row>
    <row r="921">
      <c r="A921" s="19" t="n"/>
      <c r="B921" s="19" t="n"/>
      <c r="C921" s="19" t="n"/>
      <c r="D921" s="19" t="n"/>
      <c r="E921" s="19" t="n"/>
    </row>
    <row r="922">
      <c r="A922" s="19" t="n"/>
      <c r="B922" s="19" t="n"/>
      <c r="C922" s="19" t="n"/>
      <c r="D922" s="19" t="n"/>
      <c r="E922" s="19" t="n"/>
    </row>
    <row r="923">
      <c r="A923" s="19" t="n"/>
      <c r="B923" s="19" t="n"/>
      <c r="C923" s="19" t="n"/>
      <c r="D923" s="19" t="n"/>
      <c r="E923" s="19" t="n"/>
    </row>
    <row r="924">
      <c r="A924" s="19" t="n"/>
      <c r="B924" s="19" t="n"/>
      <c r="C924" s="19" t="n"/>
      <c r="D924" s="19" t="n"/>
      <c r="E924" s="19" t="n"/>
    </row>
    <row r="925">
      <c r="A925" s="19" t="n"/>
      <c r="B925" s="19" t="n"/>
      <c r="C925" s="19" t="n"/>
      <c r="D925" s="19" t="n"/>
      <c r="E925" s="19" t="n"/>
    </row>
    <row r="926">
      <c r="A926" s="19" t="n"/>
      <c r="B926" s="19" t="n"/>
      <c r="C926" s="19" t="n"/>
      <c r="D926" s="19" t="n"/>
      <c r="E926" s="19" t="n"/>
    </row>
    <row r="927">
      <c r="A927" s="19" t="n"/>
      <c r="B927" s="19" t="n"/>
      <c r="C927" s="19" t="n"/>
      <c r="D927" s="19" t="n"/>
      <c r="E927" s="19" t="n"/>
    </row>
    <row r="928">
      <c r="A928" s="19" t="n"/>
      <c r="B928" s="19" t="n"/>
      <c r="C928" s="19" t="n"/>
      <c r="D928" s="19" t="n"/>
      <c r="E928" s="19" t="n"/>
    </row>
    <row r="929">
      <c r="A929" s="19" t="n"/>
      <c r="B929" s="19" t="n"/>
      <c r="C929" s="19" t="n"/>
      <c r="D929" s="19" t="n"/>
      <c r="E929" s="19" t="n"/>
    </row>
    <row r="930">
      <c r="A930" s="19" t="n"/>
      <c r="B930" s="19" t="n"/>
      <c r="C930" s="19" t="n"/>
      <c r="D930" s="19" t="n"/>
      <c r="E930" s="19" t="n"/>
    </row>
    <row r="931">
      <c r="A931" s="19" t="n"/>
      <c r="B931" s="19" t="n"/>
      <c r="C931" s="19" t="n"/>
      <c r="D931" s="19" t="n"/>
      <c r="E931" s="19" t="n"/>
    </row>
    <row r="932">
      <c r="A932" s="19" t="n"/>
      <c r="B932" s="19" t="n"/>
      <c r="C932" s="19" t="n"/>
      <c r="D932" s="19" t="n"/>
      <c r="E932" s="19" t="n"/>
    </row>
    <row r="933">
      <c r="A933" s="19" t="n"/>
      <c r="B933" s="19" t="n"/>
      <c r="C933" s="19" t="n"/>
      <c r="D933" s="19" t="n"/>
      <c r="E933" s="19" t="n"/>
    </row>
    <row r="934">
      <c r="A934" s="19" t="n"/>
      <c r="B934" s="19" t="n"/>
      <c r="C934" s="19" t="n"/>
      <c r="D934" s="19" t="n"/>
      <c r="E934" s="19" t="n"/>
    </row>
    <row r="935">
      <c r="A935" s="19" t="n"/>
      <c r="B935" s="19" t="n"/>
      <c r="C935" s="19" t="n"/>
      <c r="D935" s="19" t="n"/>
      <c r="E935" s="19" t="n"/>
    </row>
    <row r="936">
      <c r="A936" s="19" t="n"/>
      <c r="B936" s="19" t="n"/>
      <c r="C936" s="19" t="n"/>
      <c r="D936" s="19" t="n"/>
      <c r="E936" s="19" t="n"/>
    </row>
    <row r="937">
      <c r="A937" s="19" t="n"/>
      <c r="B937" s="19" t="n"/>
      <c r="C937" s="19" t="n"/>
      <c r="D937" s="19" t="n"/>
      <c r="E937" s="19" t="n"/>
    </row>
    <row r="938">
      <c r="A938" s="19" t="n"/>
      <c r="B938" s="19" t="n"/>
      <c r="C938" s="19" t="n"/>
      <c r="D938" s="19" t="n"/>
      <c r="E938" s="19" t="n"/>
    </row>
    <row r="939">
      <c r="A939" s="19" t="n"/>
      <c r="B939" s="19" t="n"/>
      <c r="C939" s="19" t="n"/>
      <c r="D939" s="19" t="n"/>
      <c r="E939" s="19" t="n"/>
    </row>
    <row r="940">
      <c r="A940" s="19" t="n"/>
      <c r="B940" s="19" t="n"/>
      <c r="C940" s="19" t="n"/>
      <c r="D940" s="19" t="n"/>
      <c r="E940" s="19" t="n"/>
    </row>
    <row r="941">
      <c r="A941" s="19" t="n"/>
      <c r="B941" s="19" t="n"/>
      <c r="C941" s="19" t="n"/>
      <c r="D941" s="19" t="n"/>
      <c r="E941" s="19" t="n"/>
    </row>
    <row r="942">
      <c r="A942" s="19" t="n"/>
      <c r="B942" s="19" t="n"/>
      <c r="C942" s="19" t="n"/>
      <c r="D942" s="19" t="n"/>
      <c r="E942" s="19" t="n"/>
    </row>
    <row r="943">
      <c r="A943" s="19" t="n"/>
      <c r="B943" s="19" t="n"/>
      <c r="C943" s="19" t="n"/>
      <c r="D943" s="19" t="n"/>
      <c r="E943" s="19" t="n"/>
    </row>
    <row r="944">
      <c r="A944" s="19" t="n"/>
      <c r="B944" s="19" t="n"/>
      <c r="C944" s="19" t="n"/>
      <c r="D944" s="19" t="n"/>
      <c r="E944" s="19" t="n"/>
    </row>
    <row r="945">
      <c r="A945" s="19" t="n"/>
      <c r="B945" s="19" t="n"/>
      <c r="C945" s="19" t="n"/>
      <c r="D945" s="19" t="n"/>
      <c r="E945" s="19" t="n"/>
    </row>
    <row r="946">
      <c r="A946" s="19" t="n"/>
      <c r="B946" s="19" t="n"/>
      <c r="C946" s="19" t="n"/>
      <c r="D946" s="19" t="n"/>
      <c r="E946" s="19" t="n"/>
    </row>
    <row r="947">
      <c r="A947" s="19" t="n"/>
      <c r="B947" s="19" t="n"/>
      <c r="C947" s="19" t="n"/>
      <c r="D947" s="19" t="n"/>
      <c r="E947" s="19" t="n"/>
    </row>
    <row r="948">
      <c r="A948" s="19" t="n"/>
      <c r="B948" s="19" t="n"/>
      <c r="C948" s="19" t="n"/>
      <c r="D948" s="19" t="n"/>
      <c r="E948" s="19" t="n"/>
    </row>
    <row r="949">
      <c r="A949" s="19" t="n"/>
      <c r="B949" s="19" t="n"/>
      <c r="C949" s="19" t="n"/>
      <c r="D949" s="19" t="n"/>
      <c r="E949" s="19" t="n"/>
    </row>
    <row r="950">
      <c r="A950" s="19" t="n"/>
      <c r="B950" s="19" t="n"/>
      <c r="C950" s="19" t="n"/>
      <c r="D950" s="19" t="n"/>
      <c r="E950" s="19" t="n"/>
    </row>
    <row r="951">
      <c r="A951" s="19" t="n"/>
      <c r="B951" s="19" t="n"/>
      <c r="C951" s="19" t="n"/>
      <c r="D951" s="19" t="n"/>
      <c r="E951" s="19" t="n"/>
    </row>
    <row r="952">
      <c r="A952" s="19" t="n"/>
      <c r="B952" s="19" t="n"/>
      <c r="C952" s="19" t="n"/>
      <c r="D952" s="19" t="n"/>
      <c r="E952" s="19" t="n"/>
    </row>
    <row r="953">
      <c r="A953" s="19" t="n"/>
      <c r="B953" s="19" t="n"/>
      <c r="C953" s="19" t="n"/>
      <c r="D953" s="19" t="n"/>
      <c r="E953" s="19" t="n"/>
    </row>
    <row r="954">
      <c r="A954" s="19" t="n"/>
      <c r="B954" s="19" t="n"/>
      <c r="C954" s="19" t="n"/>
      <c r="D954" s="19" t="n"/>
      <c r="E954" s="19" t="n"/>
    </row>
    <row r="955">
      <c r="A955" s="19" t="n"/>
      <c r="B955" s="19" t="n"/>
      <c r="C955" s="19" t="n"/>
      <c r="D955" s="19" t="n"/>
      <c r="E955" s="19" t="n"/>
    </row>
    <row r="956">
      <c r="A956" s="19" t="n"/>
      <c r="B956" s="19" t="n"/>
      <c r="C956" s="19" t="n"/>
      <c r="D956" s="19" t="n"/>
      <c r="E956" s="19" t="n"/>
    </row>
    <row r="957">
      <c r="A957" s="19" t="n"/>
      <c r="B957" s="19" t="n"/>
      <c r="C957" s="19" t="n"/>
      <c r="D957" s="19" t="n"/>
      <c r="E957" s="19" t="n"/>
    </row>
    <row r="958">
      <c r="A958" s="19" t="n"/>
      <c r="B958" s="19" t="n"/>
      <c r="C958" s="19" t="n"/>
      <c r="D958" s="19" t="n"/>
      <c r="E958" s="19" t="n"/>
    </row>
    <row r="959">
      <c r="A959" s="19" t="n"/>
      <c r="B959" s="19" t="n"/>
      <c r="C959" s="19" t="n"/>
      <c r="D959" s="19" t="n"/>
      <c r="E959" s="19" t="n"/>
    </row>
    <row r="960">
      <c r="A960" s="19" t="n"/>
      <c r="B960" s="19" t="n"/>
      <c r="C960" s="19" t="n"/>
      <c r="D960" s="19" t="n"/>
      <c r="E960" s="19" t="n"/>
    </row>
    <row r="961">
      <c r="A961" s="19" t="n"/>
      <c r="B961" s="19" t="n"/>
      <c r="C961" s="19" t="n"/>
      <c r="D961" s="19" t="n"/>
      <c r="E961" s="19" t="n"/>
    </row>
    <row r="962">
      <c r="A962" s="19" t="n"/>
      <c r="B962" s="19" t="n"/>
      <c r="C962" s="19" t="n"/>
      <c r="D962" s="19" t="n"/>
      <c r="E962" s="19" t="n"/>
    </row>
    <row r="963">
      <c r="A963" s="19" t="n"/>
      <c r="B963" s="19" t="n"/>
      <c r="C963" s="19" t="n"/>
      <c r="D963" s="19" t="n"/>
      <c r="E963" s="19" t="n"/>
    </row>
    <row r="964">
      <c r="A964" s="19" t="n"/>
      <c r="B964" s="19" t="n"/>
      <c r="C964" s="19" t="n"/>
      <c r="D964" s="19" t="n"/>
      <c r="E964" s="19" t="n"/>
    </row>
    <row r="965">
      <c r="A965" s="19" t="n"/>
      <c r="B965" s="19" t="n"/>
      <c r="C965" s="19" t="n"/>
      <c r="D965" s="19" t="n"/>
      <c r="E965" s="19" t="n"/>
    </row>
    <row r="966">
      <c r="A966" s="19" t="n"/>
      <c r="B966" s="19" t="n"/>
      <c r="C966" s="19" t="n"/>
      <c r="D966" s="19" t="n"/>
      <c r="E966" s="19" t="n"/>
    </row>
    <row r="967">
      <c r="A967" s="19" t="n"/>
      <c r="B967" s="19" t="n"/>
      <c r="C967" s="19" t="n"/>
      <c r="D967" s="19" t="n"/>
      <c r="E967" s="19" t="n"/>
    </row>
    <row r="968">
      <c r="A968" s="19" t="n"/>
      <c r="B968" s="19" t="n"/>
      <c r="C968" s="19" t="n"/>
      <c r="D968" s="19" t="n"/>
      <c r="E968" s="19" t="n"/>
    </row>
    <row r="969">
      <c r="A969" s="19" t="n"/>
      <c r="B969" s="19" t="n"/>
      <c r="C969" s="19" t="n"/>
      <c r="D969" s="19" t="n"/>
      <c r="E969" s="19" t="n"/>
    </row>
    <row r="970">
      <c r="A970" s="19" t="n"/>
      <c r="B970" s="19" t="n"/>
      <c r="C970" s="19" t="n"/>
      <c r="D970" s="19" t="n"/>
      <c r="E970" s="19" t="n"/>
    </row>
    <row r="971">
      <c r="A971" s="19" t="n"/>
      <c r="B971" s="19" t="n"/>
      <c r="C971" s="19" t="n"/>
      <c r="D971" s="19" t="n"/>
      <c r="E971" s="19" t="n"/>
    </row>
    <row r="972">
      <c r="A972" s="19" t="n"/>
      <c r="B972" s="19" t="n"/>
      <c r="C972" s="19" t="n"/>
      <c r="D972" s="19" t="n"/>
      <c r="E972" s="19" t="n"/>
    </row>
    <row r="973">
      <c r="A973" s="19" t="n"/>
      <c r="B973" s="19" t="n"/>
      <c r="C973" s="19" t="n"/>
      <c r="D973" s="19" t="n"/>
      <c r="E973" s="19" t="n"/>
    </row>
    <row r="974">
      <c r="A974" s="19" t="n"/>
      <c r="B974" s="19" t="n"/>
      <c r="C974" s="19" t="n"/>
      <c r="D974" s="19" t="n"/>
      <c r="E974" s="19" t="n"/>
    </row>
    <row r="975">
      <c r="A975" s="19" t="n"/>
      <c r="B975" s="19" t="n"/>
      <c r="C975" s="19" t="n"/>
      <c r="D975" s="19" t="n"/>
      <c r="E975" s="19" t="n"/>
    </row>
    <row r="976">
      <c r="A976" s="19" t="n"/>
      <c r="B976" s="19" t="n"/>
      <c r="C976" s="19" t="n"/>
      <c r="D976" s="19" t="n"/>
      <c r="E976" s="19" t="n"/>
    </row>
    <row r="977">
      <c r="A977" s="19" t="n"/>
      <c r="B977" s="19" t="n"/>
      <c r="C977" s="19" t="n"/>
      <c r="D977" s="19" t="n"/>
      <c r="E977" s="19" t="n"/>
    </row>
    <row r="978">
      <c r="A978" s="19" t="n"/>
      <c r="B978" s="19" t="n"/>
      <c r="C978" s="19" t="n"/>
      <c r="D978" s="19" t="n"/>
      <c r="E978" s="19" t="n"/>
    </row>
    <row r="979">
      <c r="A979" s="19" t="n"/>
      <c r="B979" s="19" t="n"/>
      <c r="C979" s="19" t="n"/>
      <c r="D979" s="19" t="n"/>
      <c r="E979" s="19" t="n"/>
    </row>
    <row r="980">
      <c r="A980" s="19" t="n"/>
      <c r="B980" s="19" t="n"/>
      <c r="C980" s="19" t="n"/>
      <c r="D980" s="19" t="n"/>
      <c r="E980" s="19" t="n"/>
    </row>
    <row r="981">
      <c r="A981" s="19" t="n"/>
      <c r="B981" s="19" t="n"/>
      <c r="C981" s="19" t="n"/>
      <c r="D981" s="19" t="n"/>
      <c r="E981" s="19" t="n"/>
    </row>
    <row r="982">
      <c r="A982" s="19" t="n"/>
      <c r="B982" s="19" t="n"/>
      <c r="C982" s="19" t="n"/>
      <c r="D982" s="19" t="n"/>
      <c r="E982" s="19" t="n"/>
    </row>
    <row r="983">
      <c r="A983" s="19" t="n"/>
      <c r="B983" s="19" t="n"/>
      <c r="C983" s="19" t="n"/>
      <c r="D983" s="19" t="n"/>
      <c r="E983" s="19" t="n"/>
    </row>
    <row r="984">
      <c r="A984" s="19" t="n"/>
      <c r="B984" s="19" t="n"/>
      <c r="C984" s="19" t="n"/>
      <c r="D984" s="19" t="n"/>
      <c r="E984" s="19" t="n"/>
    </row>
    <row r="985">
      <c r="A985" s="19" t="n"/>
      <c r="B985" s="19" t="n"/>
      <c r="C985" s="19" t="n"/>
      <c r="D985" s="19" t="n"/>
      <c r="E985" s="19" t="n"/>
    </row>
    <row r="986">
      <c r="A986" s="19" t="n"/>
      <c r="B986" s="19" t="n"/>
      <c r="C986" s="19" t="n"/>
      <c r="D986" s="19" t="n"/>
      <c r="E986" s="19" t="n"/>
    </row>
    <row r="987">
      <c r="A987" s="19" t="n"/>
      <c r="B987" s="19" t="n"/>
      <c r="C987" s="19" t="n"/>
      <c r="D987" s="19" t="n"/>
      <c r="E987" s="19" t="n"/>
    </row>
    <row r="988">
      <c r="A988" s="19" t="n"/>
      <c r="B988" s="19" t="n"/>
      <c r="C988" s="19" t="n"/>
      <c r="D988" s="19" t="n"/>
      <c r="E988" s="19" t="n"/>
    </row>
    <row r="989">
      <c r="A989" s="19" t="n"/>
      <c r="B989" s="19" t="n"/>
      <c r="C989" s="19" t="n"/>
      <c r="D989" s="19" t="n"/>
      <c r="E989" s="19" t="n"/>
    </row>
    <row r="990">
      <c r="A990" s="19" t="n"/>
      <c r="B990" s="19" t="n"/>
      <c r="C990" s="19" t="n"/>
      <c r="D990" s="19" t="n"/>
      <c r="E990" s="19" t="n"/>
    </row>
    <row r="991">
      <c r="A991" s="19" t="n"/>
      <c r="B991" s="19" t="n"/>
      <c r="C991" s="19" t="n"/>
      <c r="D991" s="19" t="n"/>
      <c r="E991" s="19" t="n"/>
    </row>
    <row r="992">
      <c r="A992" s="19" t="n"/>
      <c r="B992" s="19" t="n"/>
      <c r="C992" s="19" t="n"/>
      <c r="D992" s="19" t="n"/>
      <c r="E992" s="19" t="n"/>
    </row>
    <row r="993">
      <c r="A993" s="19" t="n"/>
      <c r="B993" s="19" t="n"/>
      <c r="C993" s="19" t="n"/>
      <c r="D993" s="19" t="n"/>
      <c r="E993" s="19" t="n"/>
    </row>
    <row r="994">
      <c r="A994" s="19" t="n"/>
      <c r="B994" s="19" t="n"/>
      <c r="C994" s="19" t="n"/>
      <c r="D994" s="19" t="n"/>
      <c r="E994" s="19" t="n"/>
    </row>
    <row r="995">
      <c r="A995" s="19" t="n"/>
      <c r="B995" s="19" t="n"/>
      <c r="C995" s="19" t="n"/>
      <c r="D995" s="19" t="n"/>
      <c r="E995" s="19" t="n"/>
    </row>
    <row r="996">
      <c r="A996" s="19" t="n"/>
      <c r="B996" s="19" t="n"/>
      <c r="C996" s="19" t="n"/>
      <c r="D996" s="19" t="n"/>
      <c r="E996" s="19" t="n"/>
    </row>
    <row r="997">
      <c r="A997" s="19" t="n"/>
      <c r="B997" s="19" t="n"/>
      <c r="C997" s="19" t="n"/>
      <c r="D997" s="19" t="n"/>
      <c r="E997" s="19" t="n"/>
    </row>
    <row r="998">
      <c r="A998" s="19" t="n"/>
      <c r="B998" s="19" t="n"/>
      <c r="C998" s="19" t="n"/>
      <c r="D998" s="19" t="n"/>
      <c r="E998" s="19" t="n"/>
    </row>
    <row r="999">
      <c r="A999" s="19" t="n"/>
      <c r="B999" s="19" t="n"/>
      <c r="C999" s="19" t="n"/>
      <c r="D999" s="19" t="n"/>
      <c r="E999" s="19" t="n"/>
    </row>
    <row r="1000">
      <c r="A1000" s="19" t="n"/>
      <c r="B1000" s="19" t="n"/>
      <c r="C1000" s="19" t="n"/>
      <c r="D1000" s="19" t="n"/>
      <c r="E1000" s="19" t="n"/>
    </row>
    <row r="1001">
      <c r="A1001" s="19" t="n"/>
      <c r="B1001" s="19" t="n"/>
      <c r="C1001" s="19" t="n"/>
      <c r="D1001" s="19" t="n"/>
      <c r="E1001" s="19" t="n"/>
    </row>
    <row r="1002">
      <c r="A1002" s="19" t="n"/>
      <c r="B1002" s="19" t="n"/>
      <c r="C1002" s="19" t="n"/>
      <c r="D1002" s="19" t="n"/>
      <c r="E1002" s="19" t="n"/>
    </row>
    <row r="1003">
      <c r="A1003" s="19" t="n"/>
      <c r="B1003" s="19" t="n"/>
      <c r="C1003" s="19" t="n"/>
      <c r="D1003" s="19" t="n"/>
      <c r="E1003" s="19" t="n"/>
    </row>
    <row r="1004">
      <c r="A1004" s="19" t="n"/>
      <c r="B1004" s="19" t="n"/>
      <c r="C1004" s="19" t="n"/>
      <c r="D1004" s="19" t="n"/>
      <c r="E1004" s="19" t="n"/>
    </row>
    <row r="1005">
      <c r="A1005" s="19" t="n"/>
      <c r="B1005" s="19" t="n"/>
      <c r="C1005" s="19" t="n"/>
      <c r="D1005" s="19" t="n"/>
      <c r="E1005" s="19" t="n"/>
    </row>
    <row r="1006">
      <c r="A1006" s="19" t="n"/>
      <c r="B1006" s="19" t="n"/>
      <c r="C1006" s="19" t="n"/>
      <c r="D1006" s="19" t="n"/>
      <c r="E1006" s="19" t="n"/>
    </row>
    <row r="1007">
      <c r="A1007" s="19" t="n"/>
      <c r="B1007" s="19" t="n"/>
      <c r="C1007" s="19" t="n"/>
      <c r="D1007" s="19" t="n"/>
      <c r="E1007" s="19" t="n"/>
    </row>
    <row r="1008">
      <c r="A1008" s="19" t="n"/>
      <c r="B1008" s="19" t="n"/>
      <c r="C1008" s="19" t="n"/>
      <c r="D1008" s="19" t="n"/>
      <c r="E1008" s="19" t="n"/>
    </row>
    <row r="1009">
      <c r="A1009" s="19" t="n"/>
      <c r="B1009" s="19" t="n"/>
      <c r="C1009" s="19" t="n"/>
      <c r="D1009" s="19" t="n"/>
      <c r="E1009" s="19" t="n"/>
    </row>
    <row r="1010">
      <c r="A1010" s="19" t="n"/>
      <c r="B1010" s="19" t="n"/>
      <c r="C1010" s="19" t="n"/>
      <c r="D1010" s="19" t="n"/>
      <c r="E1010" s="19" t="n"/>
    </row>
    <row r="1011">
      <c r="A1011" s="19" t="n"/>
      <c r="B1011" s="19" t="n"/>
      <c r="C1011" s="19" t="n"/>
      <c r="D1011" s="19" t="n"/>
      <c r="E1011" s="19" t="n"/>
    </row>
    <row r="1012">
      <c r="A1012" s="19" t="n"/>
      <c r="B1012" s="19" t="n"/>
      <c r="C1012" s="19" t="n"/>
      <c r="D1012" s="19" t="n"/>
      <c r="E1012" s="19" t="n"/>
    </row>
    <row r="1013">
      <c r="A1013" s="19" t="n"/>
      <c r="B1013" s="19" t="n"/>
      <c r="C1013" s="19" t="n"/>
      <c r="D1013" s="19" t="n"/>
      <c r="E1013" s="19" t="n"/>
    </row>
    <row r="1014">
      <c r="A1014" s="19" t="n"/>
      <c r="B1014" s="19" t="n"/>
      <c r="C1014" s="19" t="n"/>
      <c r="D1014" s="19" t="n"/>
      <c r="E1014" s="19" t="n"/>
    </row>
    <row r="1015">
      <c r="A1015" s="19" t="n"/>
      <c r="B1015" s="19" t="n"/>
      <c r="C1015" s="19" t="n"/>
      <c r="D1015" s="19" t="n"/>
      <c r="E1015" s="19" t="n"/>
    </row>
    <row r="1016">
      <c r="A1016" s="19" t="n"/>
      <c r="B1016" s="19" t="n"/>
      <c r="C1016" s="19" t="n"/>
      <c r="D1016" s="19" t="n"/>
      <c r="E1016" s="19" t="n"/>
    </row>
    <row r="1017">
      <c r="A1017" s="19" t="n"/>
      <c r="B1017" s="19" t="n"/>
      <c r="C1017" s="19" t="n"/>
      <c r="D1017" s="19" t="n"/>
      <c r="E1017" s="19" t="n"/>
    </row>
    <row r="1018">
      <c r="A1018" s="19" t="n"/>
      <c r="B1018" s="19" t="n"/>
      <c r="C1018" s="19" t="n"/>
      <c r="D1018" s="19" t="n"/>
      <c r="E1018" s="19" t="n"/>
    </row>
    <row r="1019">
      <c r="A1019" s="19" t="n"/>
      <c r="B1019" s="19" t="n"/>
      <c r="C1019" s="19" t="n"/>
      <c r="D1019" s="19" t="n"/>
      <c r="E1019" s="19" t="n"/>
    </row>
    <row r="1020">
      <c r="A1020" s="19" t="n"/>
      <c r="B1020" s="19" t="n"/>
      <c r="C1020" s="19" t="n"/>
      <c r="D1020" s="19" t="n"/>
      <c r="E1020" s="19" t="n"/>
    </row>
    <row r="1021">
      <c r="A1021" s="19" t="n"/>
      <c r="B1021" s="19" t="n"/>
      <c r="C1021" s="19" t="n"/>
      <c r="D1021" s="19" t="n"/>
      <c r="E1021" s="19" t="n"/>
    </row>
    <row r="1022">
      <c r="A1022" s="19" t="n"/>
      <c r="B1022" s="19" t="n"/>
      <c r="C1022" s="19" t="n"/>
      <c r="D1022" s="19" t="n"/>
      <c r="E1022" s="19" t="n"/>
    </row>
    <row r="1023">
      <c r="A1023" s="19" t="n"/>
      <c r="B1023" s="19" t="n"/>
      <c r="C1023" s="19" t="n"/>
      <c r="D1023" s="19" t="n"/>
      <c r="E1023" s="19" t="n"/>
    </row>
    <row r="1024">
      <c r="A1024" s="19" t="n"/>
      <c r="B1024" s="19" t="n"/>
      <c r="C1024" s="19" t="n"/>
      <c r="D1024" s="19" t="n"/>
      <c r="E1024" s="19" t="n"/>
    </row>
    <row r="1025">
      <c r="A1025" s="19" t="n"/>
      <c r="B1025" s="19" t="n"/>
      <c r="C1025" s="19" t="n"/>
      <c r="D1025" s="19" t="n"/>
      <c r="E1025" s="19" t="n"/>
    </row>
    <row r="1026">
      <c r="A1026" s="19" t="n"/>
      <c r="B1026" s="19" t="n"/>
      <c r="C1026" s="19" t="n"/>
      <c r="D1026" s="19" t="n"/>
      <c r="E1026" s="19" t="n"/>
    </row>
    <row r="1027">
      <c r="A1027" s="19" t="n"/>
      <c r="B1027" s="19" t="n"/>
      <c r="C1027" s="19" t="n"/>
      <c r="D1027" s="19" t="n"/>
      <c r="E1027" s="19" t="n"/>
    </row>
    <row r="1028">
      <c r="A1028" s="19" t="n"/>
      <c r="B1028" s="19" t="n"/>
      <c r="C1028" s="19" t="n"/>
      <c r="D1028" s="19" t="n"/>
      <c r="E1028" s="19" t="n"/>
    </row>
    <row r="1029">
      <c r="A1029" s="19" t="n"/>
      <c r="B1029" s="19" t="n"/>
      <c r="C1029" s="19" t="n"/>
      <c r="D1029" s="19" t="n"/>
      <c r="E1029" s="19" t="n"/>
    </row>
    <row r="1030">
      <c r="A1030" s="19" t="n"/>
      <c r="B1030" s="19" t="n"/>
      <c r="C1030" s="19" t="n"/>
      <c r="D1030" s="19" t="n"/>
      <c r="E1030" s="19" t="n"/>
    </row>
    <row r="1031">
      <c r="A1031" s="19" t="n"/>
      <c r="B1031" s="19" t="n"/>
      <c r="C1031" s="19" t="n"/>
      <c r="D1031" s="19" t="n"/>
      <c r="E1031" s="19" t="n"/>
    </row>
    <row r="1032">
      <c r="A1032" s="19" t="n"/>
      <c r="B1032" s="19" t="n"/>
      <c r="C1032" s="19" t="n"/>
      <c r="D1032" s="19" t="n"/>
      <c r="E1032" s="19" t="n"/>
    </row>
    <row r="1033">
      <c r="A1033" s="19" t="n"/>
      <c r="B1033" s="19" t="n"/>
      <c r="C1033" s="19" t="n"/>
      <c r="D1033" s="19" t="n"/>
      <c r="E1033" s="19" t="n"/>
    </row>
    <row r="1034">
      <c r="A1034" s="19" t="n"/>
      <c r="B1034" s="19" t="n"/>
      <c r="C1034" s="19" t="n"/>
      <c r="D1034" s="19" t="n"/>
      <c r="E1034" s="19" t="n"/>
    </row>
    <row r="1035">
      <c r="A1035" s="19" t="n"/>
      <c r="B1035" s="19" t="n"/>
      <c r="C1035" s="19" t="n"/>
      <c r="D1035" s="19" t="n"/>
      <c r="E1035" s="19" t="n"/>
    </row>
    <row r="1036">
      <c r="A1036" s="19" t="n"/>
      <c r="B1036" s="19" t="n"/>
      <c r="C1036" s="19" t="n"/>
      <c r="D1036" s="19" t="n"/>
      <c r="E1036" s="19" t="n"/>
    </row>
    <row r="1037">
      <c r="A1037" s="19" t="n"/>
      <c r="B1037" s="19" t="n"/>
      <c r="C1037" s="19" t="n"/>
      <c r="D1037" s="19" t="n"/>
      <c r="E1037" s="19" t="n"/>
    </row>
    <row r="1038">
      <c r="A1038" s="19" t="n"/>
      <c r="B1038" s="19" t="n"/>
      <c r="C1038" s="19" t="n"/>
      <c r="D1038" s="19" t="n"/>
      <c r="E1038" s="19" t="n"/>
    </row>
    <row r="1039">
      <c r="A1039" s="19" t="n"/>
      <c r="B1039" s="19" t="n"/>
      <c r="C1039" s="19" t="n"/>
      <c r="D1039" s="19" t="n"/>
      <c r="E1039" s="19" t="n"/>
    </row>
    <row r="1040">
      <c r="A1040" s="19" t="n"/>
      <c r="B1040" s="19" t="n"/>
      <c r="C1040" s="19" t="n"/>
      <c r="D1040" s="19" t="n"/>
      <c r="E1040" s="19" t="n"/>
    </row>
    <row r="1041">
      <c r="A1041" s="19" t="n"/>
      <c r="B1041" s="19" t="n"/>
      <c r="C1041" s="19" t="n"/>
      <c r="D1041" s="19" t="n"/>
      <c r="E1041" s="19" t="n"/>
    </row>
    <row r="1042">
      <c r="A1042" s="19" t="n"/>
      <c r="B1042" s="19" t="n"/>
      <c r="C1042" s="19" t="n"/>
      <c r="D1042" s="19" t="n"/>
      <c r="E1042" s="19" t="n"/>
    </row>
    <row r="1043">
      <c r="A1043" s="19" t="n"/>
      <c r="B1043" s="19" t="n"/>
      <c r="C1043" s="19" t="n"/>
      <c r="D1043" s="19" t="n"/>
      <c r="E1043" s="19" t="n"/>
    </row>
    <row r="1044">
      <c r="A1044" s="19" t="n"/>
      <c r="B1044" s="19" t="n"/>
      <c r="C1044" s="19" t="n"/>
      <c r="D1044" s="19" t="n"/>
      <c r="E1044" s="19" t="n"/>
    </row>
    <row r="1045">
      <c r="A1045" s="19" t="n"/>
      <c r="B1045" s="19" t="n"/>
      <c r="C1045" s="19" t="n"/>
      <c r="D1045" s="19" t="n"/>
      <c r="E1045" s="19" t="n"/>
    </row>
    <row r="1046">
      <c r="A1046" s="19" t="n"/>
      <c r="B1046" s="19" t="n"/>
      <c r="C1046" s="19" t="n"/>
      <c r="D1046" s="19" t="n"/>
      <c r="E1046" s="19" t="n"/>
    </row>
    <row r="1047">
      <c r="A1047" s="19" t="n"/>
      <c r="B1047" s="19" t="n"/>
      <c r="C1047" s="19" t="n"/>
      <c r="D1047" s="19" t="n"/>
      <c r="E1047" s="19" t="n"/>
    </row>
    <row r="1048">
      <c r="A1048" s="19" t="n"/>
      <c r="B1048" s="19" t="n"/>
      <c r="C1048" s="19" t="n"/>
      <c r="D1048" s="19" t="n"/>
      <c r="E1048" s="19" t="n"/>
    </row>
    <row r="1049">
      <c r="A1049" s="19" t="n"/>
      <c r="B1049" s="19" t="n"/>
      <c r="C1049" s="19" t="n"/>
      <c r="D1049" s="19" t="n"/>
      <c r="E1049" s="19" t="n"/>
    </row>
    <row r="1050">
      <c r="A1050" s="19" t="n"/>
      <c r="B1050" s="19" t="n"/>
      <c r="C1050" s="19" t="n"/>
      <c r="D1050" s="19" t="n"/>
      <c r="E1050" s="19" t="n"/>
    </row>
    <row r="1051">
      <c r="A1051" s="19" t="n"/>
      <c r="B1051" s="19" t="n"/>
      <c r="C1051" s="19" t="n"/>
      <c r="D1051" s="19" t="n"/>
      <c r="E1051" s="19" t="n"/>
    </row>
    <row r="1052">
      <c r="A1052" s="19" t="n"/>
      <c r="B1052" s="19" t="n"/>
      <c r="C1052" s="19" t="n"/>
      <c r="D1052" s="19" t="n"/>
      <c r="E1052" s="19" t="n"/>
    </row>
    <row r="1053">
      <c r="A1053" s="19" t="n"/>
      <c r="B1053" s="19" t="n"/>
      <c r="C1053" s="19" t="n"/>
      <c r="D1053" s="19" t="n"/>
      <c r="E1053" s="19" t="n"/>
    </row>
    <row r="1054">
      <c r="A1054" s="19" t="n"/>
      <c r="B1054" s="19" t="n"/>
      <c r="C1054" s="19" t="n"/>
      <c r="D1054" s="19" t="n"/>
      <c r="E1054" s="19" t="n"/>
    </row>
    <row r="1055">
      <c r="A1055" s="19" t="n"/>
      <c r="B1055" s="19" t="n"/>
      <c r="C1055" s="19" t="n"/>
      <c r="D1055" s="19" t="n"/>
      <c r="E1055" s="19" t="n"/>
    </row>
    <row r="1056">
      <c r="A1056" s="19" t="n"/>
      <c r="B1056" s="19" t="n"/>
      <c r="C1056" s="19" t="n"/>
      <c r="D1056" s="19" t="n"/>
      <c r="E1056" s="19" t="n"/>
    </row>
    <row r="1057">
      <c r="A1057" s="19" t="n"/>
      <c r="B1057" s="19" t="n"/>
      <c r="C1057" s="19" t="n"/>
      <c r="D1057" s="19" t="n"/>
      <c r="E1057" s="19" t="n"/>
    </row>
    <row r="1058">
      <c r="A1058" s="19" t="n"/>
      <c r="B1058" s="19" t="n"/>
      <c r="C1058" s="19" t="n"/>
      <c r="D1058" s="19" t="n"/>
      <c r="E1058" s="19" t="n"/>
    </row>
    <row r="1059">
      <c r="A1059" s="19" t="n"/>
      <c r="B1059" s="19" t="n"/>
      <c r="C1059" s="19" t="n"/>
      <c r="D1059" s="19" t="n"/>
      <c r="E1059" s="19" t="n"/>
    </row>
    <row r="1060">
      <c r="A1060" s="19" t="n"/>
      <c r="B1060" s="19" t="n"/>
      <c r="C1060" s="19" t="n"/>
      <c r="D1060" s="19" t="n"/>
      <c r="E1060" s="19" t="n"/>
    </row>
    <row r="1061">
      <c r="A1061" s="19" t="n"/>
      <c r="B1061" s="19" t="n"/>
      <c r="C1061" s="19" t="n"/>
      <c r="D1061" s="19" t="n"/>
      <c r="E1061" s="19" t="n"/>
    </row>
    <row r="1062">
      <c r="A1062" s="19" t="n"/>
      <c r="B1062" s="19" t="n"/>
      <c r="C1062" s="19" t="n"/>
      <c r="D1062" s="19" t="n"/>
      <c r="E1062" s="19" t="n"/>
    </row>
    <row r="1063">
      <c r="A1063" s="19" t="n"/>
      <c r="B1063" s="19" t="n"/>
      <c r="C1063" s="19" t="n"/>
      <c r="D1063" s="19" t="n"/>
      <c r="E1063" s="19" t="n"/>
    </row>
    <row r="1064">
      <c r="A1064" s="19" t="n"/>
      <c r="B1064" s="19" t="n"/>
      <c r="C1064" s="19" t="n"/>
      <c r="D1064" s="19" t="n"/>
      <c r="E1064" s="19" t="n"/>
    </row>
    <row r="1065">
      <c r="A1065" s="19" t="n"/>
      <c r="B1065" s="19" t="n"/>
      <c r="C1065" s="19" t="n"/>
      <c r="D1065" s="19" t="n"/>
      <c r="E1065" s="19" t="n"/>
    </row>
    <row r="1066">
      <c r="A1066" s="19" t="n"/>
      <c r="B1066" s="19" t="n"/>
      <c r="C1066" s="19" t="n"/>
      <c r="D1066" s="19" t="n"/>
      <c r="E1066" s="19" t="n"/>
    </row>
    <row r="1067">
      <c r="A1067" s="19" t="n"/>
      <c r="B1067" s="19" t="n"/>
      <c r="C1067" s="19" t="n"/>
      <c r="D1067" s="19" t="n"/>
      <c r="E1067" s="19" t="n"/>
    </row>
    <row r="1068">
      <c r="A1068" s="19" t="n"/>
      <c r="B1068" s="19" t="n"/>
      <c r="C1068" s="19" t="n"/>
      <c r="D1068" s="19" t="n"/>
      <c r="E1068" s="19" t="n"/>
    </row>
    <row r="1069">
      <c r="A1069" s="19" t="n"/>
      <c r="B1069" s="19" t="n"/>
      <c r="C1069" s="19" t="n"/>
      <c r="D1069" s="19" t="n"/>
      <c r="E1069" s="19" t="n"/>
    </row>
    <row r="1070">
      <c r="A1070" s="19" t="n"/>
      <c r="B1070" s="19" t="n"/>
      <c r="C1070" s="19" t="n"/>
      <c r="D1070" s="19" t="n"/>
      <c r="E1070" s="19" t="n"/>
    </row>
    <row r="1071">
      <c r="A1071" s="19" t="n"/>
      <c r="B1071" s="19" t="n"/>
      <c r="C1071" s="19" t="n"/>
      <c r="D1071" s="19" t="n"/>
      <c r="E1071" s="19" t="n"/>
    </row>
    <row r="1072">
      <c r="A1072" s="19" t="n"/>
      <c r="B1072" s="19" t="n"/>
      <c r="C1072" s="19" t="n"/>
      <c r="D1072" s="19" t="n"/>
      <c r="E1072" s="19" t="n"/>
    </row>
    <row r="1073">
      <c r="A1073" s="19" t="n"/>
      <c r="B1073" s="19" t="n"/>
      <c r="C1073" s="19" t="n"/>
      <c r="D1073" s="19" t="n"/>
      <c r="E1073" s="19" t="n"/>
    </row>
    <row r="1074">
      <c r="A1074" s="19" t="n"/>
      <c r="B1074" s="19" t="n"/>
      <c r="C1074" s="19" t="n"/>
      <c r="D1074" s="19" t="n"/>
      <c r="E1074" s="19" t="n"/>
    </row>
    <row r="1075">
      <c r="A1075" s="19" t="n"/>
      <c r="B1075" s="19" t="n"/>
      <c r="C1075" s="19" t="n"/>
      <c r="D1075" s="19" t="n"/>
      <c r="E1075" s="19" t="n"/>
    </row>
    <row r="1076">
      <c r="A1076" s="19" t="n"/>
      <c r="B1076" s="19" t="n"/>
      <c r="C1076" s="19" t="n"/>
      <c r="D1076" s="19" t="n"/>
      <c r="E1076" s="19" t="n"/>
    </row>
    <row r="1077">
      <c r="A1077" s="19" t="n"/>
      <c r="B1077" s="19" t="n"/>
      <c r="C1077" s="19" t="n"/>
      <c r="D1077" s="19" t="n"/>
      <c r="E1077" s="19" t="n"/>
    </row>
    <row r="1078">
      <c r="A1078" s="19" t="n"/>
      <c r="B1078" s="19" t="n"/>
      <c r="C1078" s="19" t="n"/>
      <c r="D1078" s="19" t="n"/>
      <c r="E1078" s="19" t="n"/>
    </row>
    <row r="1079">
      <c r="A1079" s="19" t="n"/>
      <c r="B1079" s="19" t="n"/>
      <c r="C1079" s="19" t="n"/>
      <c r="D1079" s="19" t="n"/>
      <c r="E1079" s="19" t="n"/>
    </row>
    <row r="1080">
      <c r="A1080" s="19" t="n"/>
      <c r="B1080" s="19" t="n"/>
      <c r="C1080" s="19" t="n"/>
      <c r="D1080" s="19" t="n"/>
      <c r="E1080" s="19" t="n"/>
    </row>
    <row r="1081">
      <c r="A1081" s="19" t="n"/>
      <c r="B1081" s="19" t="n"/>
      <c r="C1081" s="19" t="n"/>
      <c r="D1081" s="19" t="n"/>
      <c r="E1081" s="19" t="n"/>
    </row>
    <row r="1082">
      <c r="A1082" s="19" t="n"/>
      <c r="B1082" s="19" t="n"/>
      <c r="C1082" s="19" t="n"/>
      <c r="D1082" s="19" t="n"/>
      <c r="E1082" s="19" t="n"/>
    </row>
    <row r="1083">
      <c r="A1083" s="19" t="n"/>
      <c r="B1083" s="19" t="n"/>
      <c r="C1083" s="19" t="n"/>
      <c r="D1083" s="19" t="n"/>
      <c r="E1083" s="19" t="n"/>
    </row>
    <row r="1084">
      <c r="A1084" s="19" t="n"/>
      <c r="B1084" s="19" t="n"/>
      <c r="C1084" s="19" t="n"/>
      <c r="D1084" s="19" t="n"/>
      <c r="E1084" s="19" t="n"/>
    </row>
    <row r="1085">
      <c r="A1085" s="19" t="n"/>
      <c r="B1085" s="19" t="n"/>
      <c r="C1085" s="19" t="n"/>
      <c r="D1085" s="19" t="n"/>
      <c r="E1085" s="19" t="n"/>
    </row>
    <row r="1086">
      <c r="A1086" s="19" t="n"/>
      <c r="B1086" s="19" t="n"/>
      <c r="C1086" s="19" t="n"/>
      <c r="D1086" s="19" t="n"/>
      <c r="E1086" s="19" t="n"/>
    </row>
    <row r="1087">
      <c r="A1087" s="19" t="n"/>
      <c r="B1087" s="19" t="n"/>
      <c r="C1087" s="19" t="n"/>
      <c r="D1087" s="19" t="n"/>
      <c r="E1087" s="19" t="n"/>
    </row>
    <row r="1088">
      <c r="A1088" s="19" t="n"/>
      <c r="B1088" s="19" t="n"/>
      <c r="C1088" s="19" t="n"/>
      <c r="D1088" s="19" t="n"/>
      <c r="E1088" s="19" t="n"/>
    </row>
    <row r="1089">
      <c r="A1089" s="19" t="n"/>
      <c r="B1089" s="19" t="n"/>
      <c r="C1089" s="19" t="n"/>
      <c r="D1089" s="19" t="n"/>
      <c r="E1089" s="19" t="n"/>
    </row>
    <row r="1090">
      <c r="A1090" s="19" t="n"/>
      <c r="B1090" s="19" t="n"/>
      <c r="C1090" s="19" t="n"/>
      <c r="D1090" s="19" t="n"/>
      <c r="E1090" s="19" t="n"/>
    </row>
    <row r="1091">
      <c r="A1091" s="19" t="n"/>
      <c r="B1091" s="19" t="n"/>
      <c r="C1091" s="19" t="n"/>
      <c r="D1091" s="19" t="n"/>
      <c r="E1091" s="19" t="n"/>
    </row>
    <row r="1092">
      <c r="A1092" s="19" t="n"/>
      <c r="B1092" s="19" t="n"/>
      <c r="C1092" s="19" t="n"/>
      <c r="D1092" s="19" t="n"/>
      <c r="E1092" s="19" t="n"/>
    </row>
    <row r="1093">
      <c r="A1093" s="19" t="n"/>
      <c r="B1093" s="19" t="n"/>
      <c r="C1093" s="19" t="n"/>
      <c r="D1093" s="19" t="n"/>
      <c r="E1093" s="19" t="n"/>
    </row>
    <row r="1094">
      <c r="A1094" s="19" t="n"/>
      <c r="B1094" s="19" t="n"/>
      <c r="C1094" s="19" t="n"/>
      <c r="D1094" s="19" t="n"/>
      <c r="E1094" s="19" t="n"/>
    </row>
    <row r="1095">
      <c r="A1095" s="19" t="n"/>
      <c r="B1095" s="19" t="n"/>
      <c r="C1095" s="19" t="n"/>
      <c r="D1095" s="19" t="n"/>
      <c r="E1095" s="19" t="n"/>
    </row>
    <row r="1096">
      <c r="A1096" s="19" t="n"/>
      <c r="B1096" s="19" t="n"/>
      <c r="C1096" s="19" t="n"/>
      <c r="D1096" s="19" t="n"/>
      <c r="E1096" s="19" t="n"/>
    </row>
    <row r="1097">
      <c r="A1097" s="19" t="n"/>
      <c r="B1097" s="19" t="n"/>
      <c r="C1097" s="19" t="n"/>
      <c r="D1097" s="19" t="n"/>
      <c r="E1097" s="19" t="n"/>
    </row>
    <row r="1098">
      <c r="A1098" s="19" t="n"/>
      <c r="B1098" s="19" t="n"/>
      <c r="C1098" s="19" t="n"/>
      <c r="D1098" s="19" t="n"/>
      <c r="E1098" s="19" t="n"/>
    </row>
    <row r="1099">
      <c r="A1099" s="19" t="n"/>
      <c r="B1099" s="19" t="n"/>
      <c r="C1099" s="19" t="n"/>
      <c r="D1099" s="19" t="n"/>
      <c r="E1099" s="19" t="n"/>
    </row>
    <row r="1100">
      <c r="A1100" s="19" t="n"/>
      <c r="B1100" s="19" t="n"/>
      <c r="C1100" s="19" t="n"/>
      <c r="D1100" s="19" t="n"/>
      <c r="E1100" s="19" t="n"/>
    </row>
    <row r="1101">
      <c r="A1101" s="19" t="n"/>
      <c r="B1101" s="19" t="n"/>
      <c r="C1101" s="19" t="n"/>
      <c r="D1101" s="19" t="n"/>
      <c r="E1101" s="19" t="n"/>
    </row>
    <row r="1102">
      <c r="A1102" s="19" t="n"/>
      <c r="B1102" s="19" t="n"/>
      <c r="C1102" s="19" t="n"/>
      <c r="D1102" s="19" t="n"/>
      <c r="E1102" s="19" t="n"/>
    </row>
    <row r="1103">
      <c r="A1103" s="19" t="n"/>
      <c r="B1103" s="19" t="n"/>
      <c r="C1103" s="19" t="n"/>
      <c r="D1103" s="19" t="n"/>
      <c r="E1103" s="19" t="n"/>
    </row>
    <row r="1104">
      <c r="A1104" s="19" t="n"/>
      <c r="B1104" s="19" t="n"/>
      <c r="C1104" s="19" t="n"/>
      <c r="D1104" s="19" t="n"/>
      <c r="E1104" s="19" t="n"/>
    </row>
    <row r="1105">
      <c r="A1105" s="19" t="n"/>
      <c r="B1105" s="19" t="n"/>
      <c r="C1105" s="19" t="n"/>
      <c r="D1105" s="19" t="n"/>
      <c r="E1105" s="19" t="n"/>
    </row>
    <row r="1106">
      <c r="A1106" s="19" t="n"/>
      <c r="B1106" s="19" t="n"/>
      <c r="C1106" s="19" t="n"/>
      <c r="D1106" s="19" t="n"/>
      <c r="E1106" s="19" t="n"/>
    </row>
    <row r="1107">
      <c r="A1107" s="19" t="n"/>
      <c r="B1107" s="19" t="n"/>
      <c r="C1107" s="19" t="n"/>
      <c r="D1107" s="19" t="n"/>
      <c r="E1107" s="19" t="n"/>
    </row>
    <row r="1108">
      <c r="A1108" s="19" t="n"/>
      <c r="B1108" s="19" t="n"/>
      <c r="C1108" s="19" t="n"/>
      <c r="D1108" s="19" t="n"/>
      <c r="E1108" s="19" t="n"/>
    </row>
    <row r="1109">
      <c r="A1109" s="19" t="n"/>
      <c r="B1109" s="19" t="n"/>
      <c r="C1109" s="19" t="n"/>
      <c r="D1109" s="19" t="n"/>
      <c r="E1109" s="19" t="n"/>
    </row>
    <row r="1110">
      <c r="A1110" s="19" t="n"/>
      <c r="B1110" s="19" t="n"/>
      <c r="C1110" s="19" t="n"/>
      <c r="D1110" s="19" t="n"/>
      <c r="E1110" s="19" t="n"/>
    </row>
    <row r="1111">
      <c r="A1111" s="19" t="n"/>
      <c r="B1111" s="19" t="n"/>
      <c r="C1111" s="19" t="n"/>
      <c r="D1111" s="19" t="n"/>
      <c r="E1111" s="19" t="n"/>
    </row>
    <row r="1112">
      <c r="A1112" s="19" t="n"/>
      <c r="B1112" s="19" t="n"/>
      <c r="C1112" s="19" t="n"/>
      <c r="D1112" s="19" t="n"/>
      <c r="E1112" s="19" t="n"/>
    </row>
    <row r="1113">
      <c r="A1113" s="19" t="n"/>
      <c r="B1113" s="19" t="n"/>
      <c r="C1113" s="19" t="n"/>
      <c r="D1113" s="19" t="n"/>
      <c r="E1113" s="19" t="n"/>
    </row>
    <row r="1114">
      <c r="A1114" s="19" t="n"/>
      <c r="B1114" s="19" t="n"/>
      <c r="C1114" s="19" t="n"/>
      <c r="D1114" s="19" t="n"/>
      <c r="E1114" s="19" t="n"/>
    </row>
    <row r="1115">
      <c r="A1115" s="19" t="n"/>
      <c r="B1115" s="19" t="n"/>
      <c r="C1115" s="19" t="n"/>
      <c r="D1115" s="19" t="n"/>
      <c r="E1115" s="19" t="n"/>
    </row>
    <row r="1116">
      <c r="A1116" s="19" t="n"/>
      <c r="B1116" s="19" t="n"/>
      <c r="C1116" s="19" t="n"/>
      <c r="D1116" s="19" t="n"/>
      <c r="E1116" s="19" t="n"/>
    </row>
    <row r="1117">
      <c r="A1117" s="19" t="n"/>
      <c r="B1117" s="19" t="n"/>
      <c r="C1117" s="19" t="n"/>
      <c r="D1117" s="19" t="n"/>
      <c r="E1117" s="19" t="n"/>
    </row>
    <row r="1118">
      <c r="A1118" s="19" t="n"/>
      <c r="B1118" s="19" t="n"/>
      <c r="C1118" s="19" t="n"/>
      <c r="D1118" s="19" t="n"/>
      <c r="E1118" s="19" t="n"/>
    </row>
    <row r="1119">
      <c r="A1119" s="19" t="n"/>
      <c r="B1119" s="19" t="n"/>
      <c r="C1119" s="19" t="n"/>
      <c r="D1119" s="19" t="n"/>
      <c r="E1119" s="19" t="n"/>
    </row>
    <row r="1120">
      <c r="A1120" s="19" t="n"/>
      <c r="B1120" s="19" t="n"/>
      <c r="C1120" s="19" t="n"/>
      <c r="D1120" s="19" t="n"/>
      <c r="E1120" s="19" t="n"/>
    </row>
    <row r="1121">
      <c r="A1121" s="19" t="n"/>
      <c r="B1121" s="19" t="n"/>
      <c r="C1121" s="19" t="n"/>
      <c r="D1121" s="19" t="n"/>
      <c r="E1121" s="19" t="n"/>
    </row>
    <row r="1122">
      <c r="A1122" s="19" t="n"/>
      <c r="B1122" s="19" t="n"/>
      <c r="C1122" s="19" t="n"/>
      <c r="D1122" s="19" t="n"/>
      <c r="E1122" s="19" t="n"/>
    </row>
    <row r="1123">
      <c r="A1123" s="19" t="n"/>
      <c r="B1123" s="19" t="n"/>
      <c r="C1123" s="19" t="n"/>
      <c r="D1123" s="19" t="n"/>
      <c r="E1123" s="19" t="n"/>
    </row>
    <row r="1124">
      <c r="A1124" s="19" t="n"/>
      <c r="B1124" s="19" t="n"/>
      <c r="C1124" s="19" t="n"/>
      <c r="D1124" s="19" t="n"/>
      <c r="E1124" s="19" t="n"/>
    </row>
    <row r="1125">
      <c r="A1125" s="19" t="n"/>
      <c r="B1125" s="19" t="n"/>
      <c r="C1125" s="19" t="n"/>
      <c r="D1125" s="19" t="n"/>
      <c r="E1125" s="19" t="n"/>
    </row>
    <row r="1126">
      <c r="A1126" s="19" t="n"/>
      <c r="B1126" s="19" t="n"/>
      <c r="C1126" s="19" t="n"/>
      <c r="D1126" s="19" t="n"/>
      <c r="E1126" s="19" t="n"/>
    </row>
    <row r="1127">
      <c r="A1127" s="19" t="n"/>
      <c r="B1127" s="19" t="n"/>
      <c r="C1127" s="19" t="n"/>
      <c r="D1127" s="19" t="n"/>
      <c r="E1127" s="19" t="n"/>
    </row>
    <row r="1128">
      <c r="A1128" s="19" t="n"/>
      <c r="B1128" s="19" t="n"/>
      <c r="C1128" s="19" t="n"/>
      <c r="D1128" s="19" t="n"/>
      <c r="E1128" s="19" t="n"/>
    </row>
    <row r="1129">
      <c r="A1129" s="19" t="n"/>
      <c r="B1129" s="19" t="n"/>
      <c r="C1129" s="19" t="n"/>
      <c r="D1129" s="19" t="n"/>
      <c r="E1129" s="19" t="n"/>
    </row>
    <row r="1130">
      <c r="A1130" s="19" t="n"/>
      <c r="B1130" s="19" t="n"/>
      <c r="C1130" s="19" t="n"/>
      <c r="D1130" s="19" t="n"/>
      <c r="E1130" s="19" t="n"/>
    </row>
    <row r="1131">
      <c r="A1131" s="19" t="n"/>
      <c r="B1131" s="19" t="n"/>
      <c r="C1131" s="19" t="n"/>
      <c r="D1131" s="19" t="n"/>
      <c r="E1131" s="19" t="n"/>
    </row>
    <row r="1132">
      <c r="A1132" s="19" t="n"/>
      <c r="B1132" s="19" t="n"/>
      <c r="C1132" s="19" t="n"/>
      <c r="D1132" s="19" t="n"/>
      <c r="E1132" s="19" t="n"/>
    </row>
    <row r="1133">
      <c r="A1133" s="19" t="n"/>
      <c r="B1133" s="19" t="n"/>
      <c r="C1133" s="19" t="n"/>
      <c r="D1133" s="19" t="n"/>
      <c r="E1133" s="19" t="n"/>
    </row>
    <row r="1134">
      <c r="A1134" s="19" t="n"/>
      <c r="B1134" s="19" t="n"/>
      <c r="C1134" s="19" t="n"/>
      <c r="D1134" s="19" t="n"/>
      <c r="E1134" s="19" t="n"/>
    </row>
    <row r="1135">
      <c r="A1135" s="19" t="n"/>
      <c r="B1135" s="19" t="n"/>
      <c r="C1135" s="19" t="n"/>
      <c r="D1135" s="19" t="n"/>
      <c r="E1135" s="19" t="n"/>
    </row>
    <row r="1136">
      <c r="A1136" s="19" t="n"/>
      <c r="B1136" s="19" t="n"/>
      <c r="C1136" s="19" t="n"/>
      <c r="D1136" s="19" t="n"/>
      <c r="E1136" s="19" t="n"/>
    </row>
    <row r="1137">
      <c r="A1137" s="19" t="n"/>
      <c r="B1137" s="19" t="n"/>
      <c r="C1137" s="19" t="n"/>
      <c r="D1137" s="19" t="n"/>
      <c r="E1137" s="19" t="n"/>
    </row>
    <row r="1138">
      <c r="A1138" s="19" t="n"/>
      <c r="B1138" s="19" t="n"/>
      <c r="C1138" s="19" t="n"/>
      <c r="D1138" s="19" t="n"/>
      <c r="E1138" s="19" t="n"/>
    </row>
    <row r="1139">
      <c r="A1139" s="19" t="n"/>
      <c r="B1139" s="19" t="n"/>
      <c r="C1139" s="19" t="n"/>
      <c r="D1139" s="19" t="n"/>
      <c r="E1139" s="19" t="n"/>
    </row>
    <row r="1140">
      <c r="A1140" s="19" t="n"/>
      <c r="B1140" s="19" t="n"/>
      <c r="C1140" s="19" t="n"/>
      <c r="D1140" s="19" t="n"/>
      <c r="E1140" s="19" t="n"/>
    </row>
    <row r="1141">
      <c r="A1141" s="19" t="n"/>
      <c r="B1141" s="19" t="n"/>
      <c r="C1141" s="19" t="n"/>
      <c r="D1141" s="19" t="n"/>
      <c r="E1141" s="19" t="n"/>
    </row>
    <row r="1142">
      <c r="A1142" s="19" t="n"/>
      <c r="B1142" s="19" t="n"/>
      <c r="C1142" s="19" t="n"/>
      <c r="D1142" s="19" t="n"/>
      <c r="E1142" s="19" t="n"/>
    </row>
    <row r="1143">
      <c r="A1143" s="19" t="n"/>
      <c r="B1143" s="19" t="n"/>
      <c r="C1143" s="19" t="n"/>
      <c r="D1143" s="19" t="n"/>
      <c r="E1143" s="19" t="n"/>
    </row>
    <row r="1144">
      <c r="A1144" s="19" t="n"/>
      <c r="B1144" s="19" t="n"/>
      <c r="C1144" s="19" t="n"/>
      <c r="D1144" s="19" t="n"/>
      <c r="E1144" s="19" t="n"/>
    </row>
    <row r="1145">
      <c r="A1145" s="19" t="n"/>
      <c r="B1145" s="19" t="n"/>
      <c r="C1145" s="19" t="n"/>
      <c r="D1145" s="19" t="n"/>
      <c r="E1145" s="19" t="n"/>
    </row>
    <row r="1146">
      <c r="A1146" s="19" t="n"/>
      <c r="B1146" s="19" t="n"/>
      <c r="C1146" s="19" t="n"/>
      <c r="D1146" s="19" t="n"/>
      <c r="E1146" s="19" t="n"/>
    </row>
    <row r="1147">
      <c r="A1147" s="19" t="n"/>
      <c r="B1147" s="19" t="n"/>
      <c r="C1147" s="19" t="n"/>
      <c r="D1147" s="19" t="n"/>
      <c r="E1147" s="19" t="n"/>
    </row>
    <row r="1148">
      <c r="A1148" s="19" t="n"/>
      <c r="B1148" s="19" t="n"/>
      <c r="C1148" s="19" t="n"/>
      <c r="D1148" s="19" t="n"/>
      <c r="E1148" s="19" t="n"/>
    </row>
    <row r="1149">
      <c r="A1149" s="19" t="n"/>
      <c r="B1149" s="19" t="n"/>
      <c r="C1149" s="19" t="n"/>
      <c r="D1149" s="19" t="n"/>
      <c r="E1149" s="19" t="n"/>
    </row>
    <row r="1150">
      <c r="A1150" s="19" t="n"/>
      <c r="B1150" s="19" t="n"/>
      <c r="C1150" s="19" t="n"/>
      <c r="D1150" s="19" t="n"/>
      <c r="E1150" s="19" t="n"/>
    </row>
    <row r="1151">
      <c r="A1151" s="19" t="n"/>
      <c r="B1151" s="19" t="n"/>
      <c r="C1151" s="19" t="n"/>
      <c r="D1151" s="19" t="n"/>
      <c r="E1151" s="19" t="n"/>
    </row>
    <row r="1152">
      <c r="A1152" s="19" t="n"/>
      <c r="B1152" s="19" t="n"/>
      <c r="C1152" s="19" t="n"/>
      <c r="D1152" s="19" t="n"/>
      <c r="E1152" s="19" t="n"/>
    </row>
    <row r="1153">
      <c r="A1153" s="19" t="n"/>
      <c r="B1153" s="19" t="n"/>
      <c r="C1153" s="19" t="n"/>
      <c r="D1153" s="19" t="n"/>
      <c r="E1153" s="19" t="n"/>
    </row>
    <row r="1154">
      <c r="A1154" s="19" t="n"/>
      <c r="B1154" s="19" t="n"/>
      <c r="C1154" s="19" t="n"/>
      <c r="D1154" s="19" t="n"/>
      <c r="E1154" s="19" t="n"/>
    </row>
    <row r="1155">
      <c r="A1155" s="19" t="n"/>
      <c r="B1155" s="19" t="n"/>
      <c r="C1155" s="19" t="n"/>
      <c r="D1155" s="19" t="n"/>
      <c r="E1155" s="19" t="n"/>
    </row>
    <row r="1156">
      <c r="A1156" s="19" t="n"/>
      <c r="B1156" s="19" t="n"/>
      <c r="C1156" s="19" t="n"/>
      <c r="D1156" s="19" t="n"/>
      <c r="E1156" s="19" t="n"/>
    </row>
    <row r="1157">
      <c r="A1157" s="19" t="n"/>
      <c r="B1157" s="19" t="n"/>
      <c r="C1157" s="19" t="n"/>
      <c r="D1157" s="19" t="n"/>
      <c r="E1157" s="19" t="n"/>
    </row>
    <row r="1158">
      <c r="A1158" s="19" t="n"/>
      <c r="B1158" s="19" t="n"/>
      <c r="C1158" s="19" t="n"/>
      <c r="D1158" s="19" t="n"/>
      <c r="E1158" s="19" t="n"/>
    </row>
    <row r="1159">
      <c r="A1159" s="19" t="n"/>
      <c r="B1159" s="19" t="n"/>
      <c r="C1159" s="19" t="n"/>
      <c r="D1159" s="19" t="n"/>
      <c r="E1159" s="19" t="n"/>
    </row>
    <row r="1160">
      <c r="A1160" s="19" t="n"/>
      <c r="B1160" s="19" t="n"/>
      <c r="C1160" s="19" t="n"/>
      <c r="D1160" s="19" t="n"/>
      <c r="E1160" s="19" t="n"/>
    </row>
    <row r="1161">
      <c r="A1161" s="19" t="n"/>
      <c r="B1161" s="19" t="n"/>
      <c r="C1161" s="19" t="n"/>
      <c r="D1161" s="19" t="n"/>
      <c r="E1161" s="19" t="n"/>
    </row>
    <row r="1162">
      <c r="A1162" s="19" t="n"/>
      <c r="B1162" s="19" t="n"/>
      <c r="C1162" s="19" t="n"/>
      <c r="D1162" s="19" t="n"/>
      <c r="E1162" s="19" t="n"/>
    </row>
    <row r="1163">
      <c r="A1163" s="19" t="n"/>
      <c r="B1163" s="19" t="n"/>
      <c r="C1163" s="19" t="n"/>
      <c r="D1163" s="19" t="n"/>
      <c r="E1163" s="19" t="n"/>
    </row>
    <row r="1164">
      <c r="A1164" s="19" t="n"/>
      <c r="B1164" s="19" t="n"/>
      <c r="C1164" s="19" t="n"/>
      <c r="D1164" s="19" t="n"/>
      <c r="E1164" s="19" t="n"/>
    </row>
    <row r="1165">
      <c r="A1165" s="19" t="n"/>
      <c r="B1165" s="19" t="n"/>
      <c r="C1165" s="19" t="n"/>
      <c r="D1165" s="19" t="n"/>
      <c r="E1165" s="19" t="n"/>
    </row>
    <row r="1166">
      <c r="A1166" s="19" t="n"/>
      <c r="B1166" s="19" t="n"/>
      <c r="C1166" s="19" t="n"/>
      <c r="D1166" s="19" t="n"/>
      <c r="E1166" s="19" t="n"/>
    </row>
    <row r="1167">
      <c r="A1167" s="19" t="n"/>
      <c r="B1167" s="19" t="n"/>
      <c r="C1167" s="19" t="n"/>
      <c r="D1167" s="19" t="n"/>
      <c r="E1167" s="19" t="n"/>
    </row>
    <row r="1168">
      <c r="A1168" s="19" t="n"/>
      <c r="B1168" s="19" t="n"/>
      <c r="C1168" s="19" t="n"/>
      <c r="D1168" s="19" t="n"/>
      <c r="E1168" s="19" t="n"/>
    </row>
    <row r="1169">
      <c r="A1169" s="19" t="n"/>
      <c r="B1169" s="19" t="n"/>
      <c r="C1169" s="19" t="n"/>
      <c r="D1169" s="19" t="n"/>
      <c r="E1169" s="19" t="n"/>
    </row>
    <row r="1170">
      <c r="A1170" s="19" t="n"/>
      <c r="B1170" s="19" t="n"/>
      <c r="C1170" s="19" t="n"/>
      <c r="D1170" s="19" t="n"/>
      <c r="E1170" s="19" t="n"/>
    </row>
    <row r="1171">
      <c r="A1171" s="19" t="n"/>
      <c r="B1171" s="19" t="n"/>
      <c r="C1171" s="19" t="n"/>
      <c r="D1171" s="19" t="n"/>
      <c r="E1171" s="19" t="n"/>
    </row>
    <row r="1172">
      <c r="A1172" s="19" t="n"/>
      <c r="B1172" s="19" t="n"/>
      <c r="C1172" s="19" t="n"/>
      <c r="D1172" s="19" t="n"/>
      <c r="E1172" s="19" t="n"/>
    </row>
    <row r="1173">
      <c r="A1173" s="19" t="n"/>
      <c r="B1173" s="19" t="n"/>
      <c r="C1173" s="19" t="n"/>
      <c r="D1173" s="19" t="n"/>
      <c r="E1173" s="19" t="n"/>
    </row>
    <row r="1174">
      <c r="A1174" s="19" t="n"/>
      <c r="B1174" s="19" t="n"/>
      <c r="C1174" s="19" t="n"/>
      <c r="D1174" s="19" t="n"/>
      <c r="E1174" s="19" t="n"/>
    </row>
    <row r="1175">
      <c r="A1175" s="19" t="n"/>
      <c r="B1175" s="19" t="n"/>
      <c r="C1175" s="19" t="n"/>
      <c r="D1175" s="19" t="n"/>
      <c r="E1175" s="19" t="n"/>
    </row>
    <row r="1176">
      <c r="A1176" s="19" t="n"/>
      <c r="B1176" s="19" t="n"/>
      <c r="C1176" s="19" t="n"/>
      <c r="D1176" s="19" t="n"/>
      <c r="E1176" s="19" t="n"/>
    </row>
    <row r="1177">
      <c r="A1177" s="19" t="n"/>
      <c r="B1177" s="19" t="n"/>
      <c r="C1177" s="19" t="n"/>
      <c r="D1177" s="19" t="n"/>
      <c r="E1177" s="19" t="n"/>
    </row>
    <row r="1178">
      <c r="A1178" s="19" t="n"/>
      <c r="B1178" s="19" t="n"/>
      <c r="C1178" s="19" t="n"/>
      <c r="D1178" s="19" t="n"/>
      <c r="E1178" s="19" t="n"/>
    </row>
    <row r="1179">
      <c r="A1179" s="19" t="n"/>
      <c r="B1179" s="19" t="n"/>
      <c r="C1179" s="19" t="n"/>
      <c r="D1179" s="19" t="n"/>
      <c r="E1179" s="19" t="n"/>
    </row>
    <row r="1180">
      <c r="A1180" s="19" t="n"/>
      <c r="B1180" s="19" t="n"/>
      <c r="C1180" s="19" t="n"/>
      <c r="D1180" s="19" t="n"/>
      <c r="E1180" s="19" t="n"/>
    </row>
    <row r="1181">
      <c r="A1181" s="19" t="n"/>
      <c r="B1181" s="19" t="n"/>
      <c r="C1181" s="19" t="n"/>
      <c r="D1181" s="19" t="n"/>
      <c r="E1181" s="19" t="n"/>
    </row>
    <row r="1182">
      <c r="A1182" s="19" t="n"/>
      <c r="B1182" s="19" t="n"/>
      <c r="C1182" s="19" t="n"/>
      <c r="D1182" s="19" t="n"/>
      <c r="E1182" s="19" t="n"/>
    </row>
    <row r="1183">
      <c r="A1183" s="19" t="n"/>
      <c r="B1183" s="19" t="n"/>
      <c r="C1183" s="19" t="n"/>
      <c r="D1183" s="19" t="n"/>
      <c r="E1183" s="19" t="n"/>
    </row>
    <row r="1184">
      <c r="A1184" s="19" t="n"/>
      <c r="B1184" s="19" t="n"/>
      <c r="C1184" s="19" t="n"/>
      <c r="D1184" s="19" t="n"/>
      <c r="E1184" s="19" t="n"/>
    </row>
    <row r="1185">
      <c r="A1185" s="19" t="n"/>
      <c r="B1185" s="19" t="n"/>
      <c r="C1185" s="19" t="n"/>
      <c r="D1185" s="19" t="n"/>
      <c r="E1185" s="19" t="n"/>
    </row>
    <row r="1186">
      <c r="A1186" s="19" t="n"/>
      <c r="B1186" s="19" t="n"/>
      <c r="C1186" s="19" t="n"/>
      <c r="D1186" s="19" t="n"/>
      <c r="E1186" s="19" t="n"/>
    </row>
    <row r="1187">
      <c r="A1187" s="19" t="n"/>
      <c r="B1187" s="19" t="n"/>
      <c r="C1187" s="19" t="n"/>
      <c r="D1187" s="19" t="n"/>
      <c r="E1187" s="19" t="n"/>
    </row>
    <row r="1188">
      <c r="A1188" s="19" t="n"/>
      <c r="B1188" s="19" t="n"/>
      <c r="C1188" s="19" t="n"/>
      <c r="D1188" s="19" t="n"/>
      <c r="E1188" s="19" t="n"/>
    </row>
    <row r="1189">
      <c r="A1189" s="19" t="n"/>
      <c r="B1189" s="19" t="n"/>
      <c r="C1189" s="19" t="n"/>
      <c r="D1189" s="19" t="n"/>
      <c r="E1189" s="19" t="n"/>
    </row>
    <row r="1190">
      <c r="A1190" s="19" t="n"/>
      <c r="B1190" s="19" t="n"/>
      <c r="C1190" s="19" t="n"/>
      <c r="D1190" s="19" t="n"/>
      <c r="E1190" s="19" t="n"/>
    </row>
    <row r="1191">
      <c r="A1191" s="19" t="n"/>
      <c r="B1191" s="19" t="n"/>
      <c r="C1191" s="19" t="n"/>
      <c r="D1191" s="19" t="n"/>
      <c r="E1191" s="19" t="n"/>
    </row>
    <row r="1192">
      <c r="A1192" s="19" t="n"/>
      <c r="B1192" s="19" t="n"/>
      <c r="C1192" s="19" t="n"/>
      <c r="D1192" s="19" t="n"/>
      <c r="E1192" s="19" t="n"/>
    </row>
    <row r="1193">
      <c r="A1193" s="19" t="n"/>
      <c r="B1193" s="19" t="n"/>
      <c r="C1193" s="19" t="n"/>
      <c r="D1193" s="19" t="n"/>
      <c r="E1193" s="19" t="n"/>
    </row>
    <row r="1194">
      <c r="A1194" s="19" t="n"/>
      <c r="B1194" s="19" t="n"/>
      <c r="C1194" s="19" t="n"/>
      <c r="D1194" s="19" t="n"/>
      <c r="E1194" s="19" t="n"/>
    </row>
    <row r="1195">
      <c r="A1195" s="19" t="n"/>
      <c r="B1195" s="19" t="n"/>
      <c r="C1195" s="19" t="n"/>
      <c r="D1195" s="19" t="n"/>
      <c r="E1195" s="19" t="n"/>
    </row>
    <row r="1196">
      <c r="A1196" s="19" t="n"/>
      <c r="B1196" s="19" t="n"/>
      <c r="C1196" s="19" t="n"/>
      <c r="D1196" s="19" t="n"/>
      <c r="E1196" s="19" t="n"/>
    </row>
    <row r="1197">
      <c r="A1197" s="19" t="n"/>
      <c r="B1197" s="19" t="n"/>
      <c r="C1197" s="19" t="n"/>
      <c r="D1197" s="19" t="n"/>
      <c r="E1197" s="19" t="n"/>
    </row>
    <row r="1198">
      <c r="A1198" s="19" t="n"/>
      <c r="B1198" s="19" t="n"/>
      <c r="C1198" s="19" t="n"/>
      <c r="D1198" s="19" t="n"/>
      <c r="E1198" s="19" t="n"/>
    </row>
    <row r="1199">
      <c r="A1199" s="19" t="n"/>
      <c r="B1199" s="19" t="n"/>
      <c r="C1199" s="19" t="n"/>
      <c r="D1199" s="19" t="n"/>
      <c r="E1199" s="19" t="n"/>
    </row>
    <row r="1200">
      <c r="A1200" s="19" t="n"/>
      <c r="B1200" s="19" t="n"/>
      <c r="C1200" s="19" t="n"/>
      <c r="D1200" s="19" t="n"/>
      <c r="E1200" s="19" t="n"/>
    </row>
    <row r="1201">
      <c r="A1201" s="19" t="n"/>
      <c r="B1201" s="19" t="n"/>
      <c r="C1201" s="19" t="n"/>
      <c r="D1201" s="19" t="n"/>
      <c r="E1201" s="19" t="n"/>
    </row>
    <row r="1202">
      <c r="A1202" s="19" t="n"/>
      <c r="B1202" s="19" t="n"/>
      <c r="C1202" s="19" t="n"/>
      <c r="D1202" s="19" t="n"/>
      <c r="E1202" s="19" t="n"/>
    </row>
    <row r="1203">
      <c r="A1203" s="19" t="n"/>
      <c r="B1203" s="19" t="n"/>
      <c r="C1203" s="19" t="n"/>
      <c r="D1203" s="19" t="n"/>
      <c r="E1203" s="19" t="n"/>
    </row>
    <row r="1204">
      <c r="A1204" s="19" t="n"/>
      <c r="B1204" s="19" t="n"/>
      <c r="C1204" s="19" t="n"/>
      <c r="D1204" s="19" t="n"/>
      <c r="E1204" s="19" t="n"/>
    </row>
    <row r="1205">
      <c r="A1205" s="19" t="n"/>
      <c r="B1205" s="19" t="n"/>
      <c r="C1205" s="19" t="n"/>
      <c r="D1205" s="19" t="n"/>
      <c r="E1205" s="19" t="n"/>
    </row>
    <row r="1206">
      <c r="A1206" s="19" t="n"/>
      <c r="B1206" s="19" t="n"/>
      <c r="C1206" s="19" t="n"/>
      <c r="D1206" s="19" t="n"/>
      <c r="E1206" s="19" t="n"/>
    </row>
    <row r="1207">
      <c r="A1207" s="19" t="n"/>
      <c r="B1207" s="19" t="n"/>
      <c r="C1207" s="19" t="n"/>
      <c r="D1207" s="19" t="n"/>
      <c r="E1207" s="19" t="n"/>
    </row>
    <row r="1208">
      <c r="A1208" s="19" t="n"/>
      <c r="B1208" s="19" t="n"/>
      <c r="C1208" s="19" t="n"/>
      <c r="D1208" s="19" t="n"/>
      <c r="E1208" s="19" t="n"/>
    </row>
    <row r="1209">
      <c r="A1209" s="19" t="n"/>
      <c r="B1209" s="19" t="n"/>
      <c r="C1209" s="19" t="n"/>
      <c r="D1209" s="19" t="n"/>
      <c r="E1209" s="19" t="n"/>
    </row>
    <row r="1210">
      <c r="A1210" s="19" t="n"/>
      <c r="B1210" s="19" t="n"/>
      <c r="C1210" s="19" t="n"/>
      <c r="D1210" s="19" t="n"/>
      <c r="E1210" s="19" t="n"/>
    </row>
    <row r="1211">
      <c r="A1211" s="19" t="n"/>
      <c r="B1211" s="19" t="n"/>
      <c r="C1211" s="19" t="n"/>
      <c r="D1211" s="19" t="n"/>
      <c r="E1211" s="19" t="n"/>
    </row>
    <row r="1212">
      <c r="A1212" s="19" t="n"/>
      <c r="B1212" s="19" t="n"/>
      <c r="C1212" s="19" t="n"/>
      <c r="D1212" s="19" t="n"/>
      <c r="E1212" s="19" t="n"/>
    </row>
    <row r="1213">
      <c r="A1213" s="19" t="n"/>
      <c r="B1213" s="19" t="n"/>
      <c r="C1213" s="19" t="n"/>
      <c r="D1213" s="19" t="n"/>
      <c r="E1213" s="19" t="n"/>
    </row>
    <row r="1214">
      <c r="A1214" s="19" t="n"/>
      <c r="B1214" s="19" t="n"/>
      <c r="C1214" s="19" t="n"/>
      <c r="D1214" s="19" t="n"/>
      <c r="E1214" s="19" t="n"/>
    </row>
    <row r="1215">
      <c r="A1215" s="19" t="n"/>
      <c r="B1215" s="19" t="n"/>
      <c r="C1215" s="19" t="n"/>
      <c r="D1215" s="19" t="n"/>
      <c r="E1215" s="19" t="n"/>
    </row>
    <row r="1216">
      <c r="A1216" s="19" t="n"/>
      <c r="B1216" s="19" t="n"/>
      <c r="C1216" s="19" t="n"/>
      <c r="D1216" s="19" t="n"/>
      <c r="E1216" s="19" t="n"/>
    </row>
    <row r="1217">
      <c r="A1217" s="19" t="n"/>
      <c r="B1217" s="19" t="n"/>
      <c r="C1217" s="19" t="n"/>
      <c r="D1217" s="19" t="n"/>
      <c r="E1217" s="19" t="n"/>
    </row>
    <row r="1218">
      <c r="A1218" s="19" t="n"/>
      <c r="B1218" s="19" t="n"/>
      <c r="C1218" s="19" t="n"/>
      <c r="D1218" s="19" t="n"/>
      <c r="E1218" s="19" t="n"/>
    </row>
    <row r="1219">
      <c r="A1219" s="19" t="n"/>
      <c r="B1219" s="19" t="n"/>
      <c r="C1219" s="19" t="n"/>
      <c r="D1219" s="19" t="n"/>
      <c r="E1219" s="19" t="n"/>
    </row>
    <row r="1220">
      <c r="A1220" s="19" t="n"/>
      <c r="B1220" s="19" t="n"/>
      <c r="C1220" s="19" t="n"/>
      <c r="D1220" s="19" t="n"/>
      <c r="E1220" s="19" t="n"/>
    </row>
    <row r="1221">
      <c r="A1221" s="19" t="n"/>
      <c r="B1221" s="19" t="n"/>
      <c r="C1221" s="19" t="n"/>
      <c r="D1221" s="19" t="n"/>
      <c r="E1221" s="19" t="n"/>
    </row>
    <row r="1222">
      <c r="A1222" s="19" t="n"/>
      <c r="B1222" s="19" t="n"/>
      <c r="C1222" s="19" t="n"/>
      <c r="D1222" s="19" t="n"/>
      <c r="E1222" s="19" t="n"/>
    </row>
    <row r="1223">
      <c r="A1223" s="19" t="n"/>
      <c r="B1223" s="19" t="n"/>
      <c r="C1223" s="19" t="n"/>
      <c r="D1223" s="19" t="n"/>
      <c r="E1223" s="19" t="n"/>
    </row>
    <row r="1224">
      <c r="A1224" s="19" t="n"/>
      <c r="B1224" s="19" t="n"/>
      <c r="C1224" s="19" t="n"/>
      <c r="D1224" s="19" t="n"/>
      <c r="E1224" s="19" t="n"/>
    </row>
    <row r="1225">
      <c r="A1225" s="19" t="n"/>
      <c r="B1225" s="19" t="n"/>
      <c r="C1225" s="19" t="n"/>
      <c r="D1225" s="19" t="n"/>
      <c r="E1225" s="19" t="n"/>
    </row>
    <row r="1226">
      <c r="A1226" s="19" t="n"/>
      <c r="B1226" s="19" t="n"/>
      <c r="C1226" s="19" t="n"/>
      <c r="D1226" s="19" t="n"/>
      <c r="E1226" s="19" t="n"/>
    </row>
    <row r="1227">
      <c r="A1227" s="19" t="n"/>
      <c r="B1227" s="19" t="n"/>
      <c r="C1227" s="19" t="n"/>
      <c r="D1227" s="19" t="n"/>
      <c r="E1227" s="19" t="n"/>
    </row>
    <row r="1228">
      <c r="A1228" s="19" t="n"/>
      <c r="B1228" s="19" t="n"/>
      <c r="C1228" s="19" t="n"/>
      <c r="D1228" s="19" t="n"/>
      <c r="E1228" s="19" t="n"/>
    </row>
    <row r="1229">
      <c r="A1229" s="19" t="n"/>
      <c r="B1229" s="19" t="n"/>
      <c r="C1229" s="19" t="n"/>
      <c r="D1229" s="19" t="n"/>
      <c r="E1229" s="19" t="n"/>
    </row>
    <row r="1230">
      <c r="A1230" s="19" t="n"/>
      <c r="B1230" s="19" t="n"/>
      <c r="C1230" s="19" t="n"/>
      <c r="D1230" s="19" t="n"/>
      <c r="E1230" s="19" t="n"/>
    </row>
    <row r="1231">
      <c r="A1231" s="19" t="n"/>
      <c r="B1231" s="19" t="n"/>
      <c r="C1231" s="19" t="n"/>
      <c r="D1231" s="19" t="n"/>
      <c r="E1231" s="19" t="n"/>
    </row>
    <row r="1232">
      <c r="A1232" s="19" t="n"/>
      <c r="B1232" s="19" t="n"/>
      <c r="C1232" s="19" t="n"/>
      <c r="D1232" s="19" t="n"/>
      <c r="E1232" s="19" t="n"/>
    </row>
    <row r="1233">
      <c r="A1233" s="19" t="n"/>
      <c r="B1233" s="19" t="n"/>
      <c r="C1233" s="19" t="n"/>
      <c r="D1233" s="19" t="n"/>
      <c r="E1233" s="19" t="n"/>
    </row>
    <row r="1234">
      <c r="A1234" s="19" t="n"/>
      <c r="B1234" s="19" t="n"/>
      <c r="C1234" s="19" t="n"/>
      <c r="D1234" s="19" t="n"/>
      <c r="E1234" s="19" t="n"/>
    </row>
    <row r="1235">
      <c r="A1235" s="19" t="n"/>
      <c r="B1235" s="19" t="n"/>
      <c r="C1235" s="19" t="n"/>
      <c r="D1235" s="19" t="n"/>
      <c r="E1235" s="19" t="n"/>
    </row>
    <row r="1236">
      <c r="A1236" s="19" t="n"/>
      <c r="B1236" s="19" t="n"/>
      <c r="C1236" s="19" t="n"/>
      <c r="D1236" s="19" t="n"/>
      <c r="E1236" s="19" t="n"/>
    </row>
    <row r="1237">
      <c r="A1237" s="19" t="n"/>
      <c r="B1237" s="19" t="n"/>
      <c r="C1237" s="19" t="n"/>
      <c r="D1237" s="19" t="n"/>
      <c r="E1237" s="19" t="n"/>
    </row>
    <row r="1238">
      <c r="A1238" s="19" t="n"/>
      <c r="B1238" s="19" t="n"/>
      <c r="C1238" s="19" t="n"/>
      <c r="D1238" s="19" t="n"/>
      <c r="E1238" s="19" t="n"/>
    </row>
    <row r="1239">
      <c r="A1239" s="19" t="n"/>
      <c r="B1239" s="19" t="n"/>
      <c r="C1239" s="19" t="n"/>
      <c r="D1239" s="19" t="n"/>
      <c r="E1239" s="19" t="n"/>
    </row>
    <row r="1240">
      <c r="A1240" s="19" t="n"/>
      <c r="B1240" s="19" t="n"/>
      <c r="C1240" s="19" t="n"/>
      <c r="D1240" s="19" t="n"/>
      <c r="E1240" s="19" t="n"/>
    </row>
    <row r="1241">
      <c r="A1241" s="19" t="n"/>
      <c r="B1241" s="19" t="n"/>
      <c r="C1241" s="19" t="n"/>
      <c r="D1241" s="19" t="n"/>
      <c r="E1241" s="19" t="n"/>
    </row>
    <row r="1242">
      <c r="A1242" s="19" t="n"/>
      <c r="B1242" s="19" t="n"/>
      <c r="C1242" s="19" t="n"/>
      <c r="D1242" s="19" t="n"/>
      <c r="E1242" s="19" t="n"/>
    </row>
    <row r="1243">
      <c r="A1243" s="19" t="n"/>
      <c r="B1243" s="19" t="n"/>
      <c r="C1243" s="19" t="n"/>
      <c r="D1243" s="19" t="n"/>
      <c r="E1243" s="19" t="n"/>
    </row>
    <row r="1244">
      <c r="A1244" s="19" t="n"/>
      <c r="B1244" s="19" t="n"/>
      <c r="C1244" s="19" t="n"/>
      <c r="D1244" s="19" t="n"/>
      <c r="E1244" s="19" t="n"/>
    </row>
    <row r="1245">
      <c r="A1245" s="19" t="n"/>
      <c r="B1245" s="19" t="n"/>
      <c r="C1245" s="19" t="n"/>
      <c r="D1245" s="19" t="n"/>
      <c r="E1245" s="19" t="n"/>
    </row>
    <row r="1246">
      <c r="A1246" s="19" t="n"/>
      <c r="B1246" s="19" t="n"/>
      <c r="C1246" s="19" t="n"/>
      <c r="D1246" s="19" t="n"/>
      <c r="E1246" s="19" t="n"/>
    </row>
    <row r="1247">
      <c r="A1247" s="19" t="n"/>
      <c r="B1247" s="19" t="n"/>
      <c r="C1247" s="19" t="n"/>
      <c r="D1247" s="19" t="n"/>
      <c r="E1247" s="19" t="n"/>
    </row>
    <row r="1248">
      <c r="A1248" s="19" t="n"/>
      <c r="B1248" s="19" t="n"/>
      <c r="C1248" s="19" t="n"/>
      <c r="D1248" s="19" t="n"/>
      <c r="E1248" s="19" t="n"/>
    </row>
    <row r="1249">
      <c r="A1249" s="19" t="n"/>
      <c r="B1249" s="19" t="n"/>
      <c r="C1249" s="19" t="n"/>
      <c r="D1249" s="19" t="n"/>
      <c r="E1249" s="19" t="n"/>
    </row>
    <row r="1250">
      <c r="A1250" s="19" t="n"/>
      <c r="B1250" s="19" t="n"/>
      <c r="C1250" s="19" t="n"/>
      <c r="D1250" s="19" t="n"/>
      <c r="E1250" s="19" t="n"/>
    </row>
    <row r="1251">
      <c r="A1251" s="19" t="n"/>
      <c r="B1251" s="19" t="n"/>
      <c r="C1251" s="19" t="n"/>
      <c r="D1251" s="19" t="n"/>
      <c r="E1251" s="19" t="n"/>
    </row>
    <row r="1252">
      <c r="A1252" s="19" t="n"/>
      <c r="B1252" s="19" t="n"/>
      <c r="C1252" s="19" t="n"/>
      <c r="D1252" s="19" t="n"/>
      <c r="E1252" s="19" t="n"/>
    </row>
    <row r="1253">
      <c r="A1253" s="19" t="n"/>
      <c r="B1253" s="19" t="n"/>
      <c r="C1253" s="19" t="n"/>
      <c r="D1253" s="19" t="n"/>
      <c r="E1253" s="19" t="n"/>
    </row>
    <row r="1254">
      <c r="A1254" s="19" t="n"/>
      <c r="B1254" s="19" t="n"/>
      <c r="C1254" s="19" t="n"/>
      <c r="D1254" s="19" t="n"/>
      <c r="E1254" s="19" t="n"/>
    </row>
    <row r="1255">
      <c r="A1255" s="19" t="n"/>
      <c r="B1255" s="19" t="n"/>
      <c r="C1255" s="19" t="n"/>
      <c r="D1255" s="19" t="n"/>
      <c r="E1255" s="19" t="n"/>
    </row>
    <row r="1256">
      <c r="A1256" s="19" t="n"/>
      <c r="B1256" s="19" t="n"/>
      <c r="C1256" s="19" t="n"/>
      <c r="D1256" s="19" t="n"/>
      <c r="E1256" s="19" t="n"/>
    </row>
    <row r="1257">
      <c r="A1257" s="19" t="n"/>
      <c r="B1257" s="19" t="n"/>
      <c r="C1257" s="19" t="n"/>
      <c r="D1257" s="19" t="n"/>
      <c r="E1257" s="19" t="n"/>
    </row>
    <row r="1258">
      <c r="A1258" s="19" t="n"/>
      <c r="B1258" s="19" t="n"/>
      <c r="C1258" s="19" t="n"/>
      <c r="D1258" s="19" t="n"/>
      <c r="E1258" s="19" t="n"/>
    </row>
    <row r="1259">
      <c r="A1259" s="19" t="n"/>
      <c r="B1259" s="19" t="n"/>
      <c r="C1259" s="19" t="n"/>
      <c r="D1259" s="19" t="n"/>
      <c r="E1259" s="19" t="n"/>
    </row>
    <row r="1260">
      <c r="A1260" s="19" t="n"/>
      <c r="B1260" s="19" t="n"/>
      <c r="C1260" s="19" t="n"/>
      <c r="D1260" s="19" t="n"/>
      <c r="E1260" s="19" t="n"/>
    </row>
    <row r="1261">
      <c r="A1261" s="19" t="n"/>
      <c r="B1261" s="19" t="n"/>
      <c r="C1261" s="19" t="n"/>
      <c r="D1261" s="19" t="n"/>
      <c r="E1261" s="19" t="n"/>
    </row>
    <row r="1262">
      <c r="A1262" s="19" t="n"/>
      <c r="B1262" s="19" t="n"/>
      <c r="C1262" s="19" t="n"/>
      <c r="D1262" s="19" t="n"/>
      <c r="E1262" s="19" t="n"/>
    </row>
    <row r="1263">
      <c r="A1263" s="19" t="n"/>
      <c r="B1263" s="19" t="n"/>
      <c r="C1263" s="19" t="n"/>
      <c r="D1263" s="19" t="n"/>
      <c r="E1263" s="19" t="n"/>
    </row>
    <row r="1264">
      <c r="A1264" s="19" t="n"/>
      <c r="B1264" s="19" t="n"/>
      <c r="C1264" s="19" t="n"/>
      <c r="D1264" s="19" t="n"/>
      <c r="E1264" s="19" t="n"/>
    </row>
    <row r="1265">
      <c r="A1265" s="19" t="n"/>
      <c r="B1265" s="19" t="n"/>
      <c r="C1265" s="19" t="n"/>
      <c r="D1265" s="19" t="n"/>
      <c r="E1265" s="19" t="n"/>
    </row>
    <row r="1266">
      <c r="A1266" s="19" t="n"/>
      <c r="B1266" s="19" t="n"/>
      <c r="C1266" s="19" t="n"/>
      <c r="D1266" s="19" t="n"/>
      <c r="E1266" s="19" t="n"/>
    </row>
    <row r="1267">
      <c r="A1267" s="19" t="n"/>
      <c r="B1267" s="19" t="n"/>
      <c r="C1267" s="19" t="n"/>
      <c r="D1267" s="19" t="n"/>
      <c r="E1267" s="19" t="n"/>
    </row>
    <row r="1268">
      <c r="A1268" s="19" t="n"/>
      <c r="B1268" s="19" t="n"/>
      <c r="C1268" s="19" t="n"/>
      <c r="D1268" s="19" t="n"/>
      <c r="E1268" s="19" t="n"/>
    </row>
    <row r="1269">
      <c r="A1269" s="19" t="n"/>
      <c r="B1269" s="19" t="n"/>
      <c r="C1269" s="19" t="n"/>
      <c r="D1269" s="19" t="n"/>
      <c r="E1269" s="19" t="n"/>
    </row>
    <row r="1270">
      <c r="A1270" s="19" t="n"/>
      <c r="B1270" s="19" t="n"/>
      <c r="C1270" s="19" t="n"/>
      <c r="D1270" s="19" t="n"/>
      <c r="E1270" s="19" t="n"/>
    </row>
    <row r="1271">
      <c r="A1271" s="19" t="n"/>
      <c r="B1271" s="19" t="n"/>
      <c r="C1271" s="19" t="n"/>
      <c r="D1271" s="19" t="n"/>
      <c r="E1271" s="19" t="n"/>
    </row>
    <row r="1272">
      <c r="A1272" s="19" t="n"/>
      <c r="B1272" s="19" t="n"/>
      <c r="C1272" s="19" t="n"/>
      <c r="D1272" s="19" t="n"/>
      <c r="E1272" s="19" t="n"/>
    </row>
    <row r="1273">
      <c r="A1273" s="19" t="n"/>
      <c r="B1273" s="19" t="n"/>
      <c r="C1273" s="19" t="n"/>
      <c r="D1273" s="19" t="n"/>
      <c r="E1273" s="19" t="n"/>
    </row>
    <row r="1274">
      <c r="A1274" s="19" t="n"/>
      <c r="B1274" s="19" t="n"/>
      <c r="C1274" s="19" t="n"/>
      <c r="D1274" s="19" t="n"/>
      <c r="E1274" s="19" t="n"/>
    </row>
    <row r="1275">
      <c r="A1275" s="19" t="n"/>
      <c r="B1275" s="19" t="n"/>
      <c r="C1275" s="19" t="n"/>
      <c r="D1275" s="19" t="n"/>
      <c r="E1275" s="19" t="n"/>
    </row>
    <row r="1276">
      <c r="A1276" s="19" t="n"/>
      <c r="B1276" s="19" t="n"/>
      <c r="C1276" s="19" t="n"/>
      <c r="D1276" s="19" t="n"/>
      <c r="E1276" s="19" t="n"/>
    </row>
    <row r="1277">
      <c r="A1277" s="19" t="n"/>
      <c r="B1277" s="19" t="n"/>
      <c r="C1277" s="19" t="n"/>
      <c r="D1277" s="19" t="n"/>
      <c r="E1277" s="19" t="n"/>
    </row>
    <row r="1278">
      <c r="A1278" s="19" t="n"/>
      <c r="B1278" s="19" t="n"/>
      <c r="C1278" s="19" t="n"/>
      <c r="D1278" s="19" t="n"/>
      <c r="E1278" s="19" t="n"/>
    </row>
    <row r="1279">
      <c r="A1279" s="19" t="n"/>
      <c r="B1279" s="19" t="n"/>
      <c r="C1279" s="19" t="n"/>
      <c r="D1279" s="19" t="n"/>
      <c r="E1279" s="19" t="n"/>
    </row>
    <row r="1280">
      <c r="A1280" s="19" t="n"/>
      <c r="B1280" s="19" t="n"/>
      <c r="C1280" s="19" t="n"/>
      <c r="D1280" s="19" t="n"/>
      <c r="E1280" s="19" t="n"/>
    </row>
    <row r="1281">
      <c r="A1281" s="19" t="n"/>
      <c r="B1281" s="19" t="n"/>
      <c r="C1281" s="19" t="n"/>
      <c r="D1281" s="19" t="n"/>
      <c r="E1281" s="19" t="n"/>
    </row>
    <row r="1282">
      <c r="A1282" s="19" t="n"/>
      <c r="B1282" s="19" t="n"/>
      <c r="C1282" s="19" t="n"/>
      <c r="D1282" s="19" t="n"/>
      <c r="E1282" s="19" t="n"/>
    </row>
    <row r="1283">
      <c r="A1283" s="19" t="n"/>
      <c r="B1283" s="19" t="n"/>
      <c r="C1283" s="19" t="n"/>
      <c r="D1283" s="19" t="n"/>
      <c r="E1283" s="19" t="n"/>
    </row>
    <row r="1284">
      <c r="A1284" s="19" t="n"/>
      <c r="B1284" s="19" t="n"/>
      <c r="C1284" s="19" t="n"/>
      <c r="D1284" s="19" t="n"/>
      <c r="E1284" s="19" t="n"/>
    </row>
    <row r="1285">
      <c r="A1285" s="19" t="n"/>
      <c r="B1285" s="19" t="n"/>
      <c r="C1285" s="19" t="n"/>
      <c r="D1285" s="19" t="n"/>
      <c r="E1285" s="19" t="n"/>
    </row>
    <row r="1286">
      <c r="A1286" s="19" t="n"/>
      <c r="B1286" s="19" t="n"/>
      <c r="C1286" s="19" t="n"/>
      <c r="D1286" s="19" t="n"/>
      <c r="E1286" s="19" t="n"/>
    </row>
    <row r="1287">
      <c r="A1287" s="19" t="n"/>
      <c r="B1287" s="19" t="n"/>
      <c r="C1287" s="19" t="n"/>
      <c r="D1287" s="19" t="n"/>
      <c r="E1287" s="19" t="n"/>
    </row>
    <row r="1288">
      <c r="A1288" s="19" t="n"/>
      <c r="B1288" s="19" t="n"/>
      <c r="C1288" s="19" t="n"/>
      <c r="D1288" s="19" t="n"/>
      <c r="E1288" s="19" t="n"/>
    </row>
    <row r="1289">
      <c r="A1289" s="19" t="n"/>
      <c r="B1289" s="19" t="n"/>
      <c r="C1289" s="19" t="n"/>
      <c r="D1289" s="19" t="n"/>
      <c r="E1289" s="19" t="n"/>
    </row>
    <row r="1290">
      <c r="A1290" s="19" t="n"/>
      <c r="B1290" s="19" t="n"/>
      <c r="C1290" s="19" t="n"/>
      <c r="D1290" s="19" t="n"/>
      <c r="E1290" s="19" t="n"/>
    </row>
    <row r="1291">
      <c r="A1291" s="19" t="n"/>
      <c r="B1291" s="19" t="n"/>
      <c r="C1291" s="19" t="n"/>
      <c r="D1291" s="19" t="n"/>
      <c r="E1291" s="19" t="n"/>
    </row>
    <row r="1292">
      <c r="A1292" s="19" t="n"/>
      <c r="B1292" s="19" t="n"/>
      <c r="C1292" s="19" t="n"/>
      <c r="D1292" s="19" t="n"/>
      <c r="E1292" s="19" t="n"/>
    </row>
    <row r="1293">
      <c r="A1293" s="19" t="n"/>
      <c r="B1293" s="19" t="n"/>
      <c r="C1293" s="19" t="n"/>
      <c r="D1293" s="19" t="n"/>
      <c r="E1293" s="19" t="n"/>
    </row>
    <row r="1294">
      <c r="A1294" s="19" t="n"/>
      <c r="B1294" s="19" t="n"/>
      <c r="C1294" s="19" t="n"/>
      <c r="D1294" s="19" t="n"/>
      <c r="E1294" s="19" t="n"/>
    </row>
    <row r="1295">
      <c r="A1295" s="19" t="n"/>
      <c r="B1295" s="19" t="n"/>
      <c r="C1295" s="19" t="n"/>
      <c r="D1295" s="19" t="n"/>
      <c r="E1295" s="19" t="n"/>
    </row>
    <row r="1296">
      <c r="A1296" s="19" t="n"/>
      <c r="B1296" s="19" t="n"/>
      <c r="C1296" s="19" t="n"/>
      <c r="D1296" s="19" t="n"/>
      <c r="E1296" s="19" t="n"/>
    </row>
    <row r="1297">
      <c r="A1297" s="19" t="n"/>
      <c r="B1297" s="19" t="n"/>
      <c r="C1297" s="19" t="n"/>
      <c r="D1297" s="19" t="n"/>
      <c r="E1297" s="19" t="n"/>
    </row>
    <row r="1298">
      <c r="A1298" s="19" t="n"/>
      <c r="B1298" s="19" t="n"/>
      <c r="C1298" s="19" t="n"/>
      <c r="D1298" s="19" t="n"/>
      <c r="E1298" s="19" t="n"/>
    </row>
    <row r="1299">
      <c r="A1299" s="19" t="n"/>
      <c r="B1299" s="19" t="n"/>
      <c r="C1299" s="19" t="n"/>
      <c r="D1299" s="19" t="n"/>
      <c r="E1299" s="19" t="n"/>
    </row>
    <row r="1300">
      <c r="A1300" s="19" t="n"/>
      <c r="B1300" s="19" t="n"/>
      <c r="C1300" s="19" t="n"/>
      <c r="D1300" s="19" t="n"/>
      <c r="E1300" s="19" t="n"/>
    </row>
    <row r="1301">
      <c r="A1301" s="19" t="n"/>
      <c r="B1301" s="19" t="n"/>
      <c r="C1301" s="19" t="n"/>
      <c r="D1301" s="19" t="n"/>
      <c r="E1301" s="19" t="n"/>
    </row>
    <row r="1302">
      <c r="A1302" s="19" t="n"/>
      <c r="B1302" s="19" t="n"/>
      <c r="C1302" s="19" t="n"/>
      <c r="D1302" s="19" t="n"/>
      <c r="E1302" s="19" t="n"/>
    </row>
    <row r="1303">
      <c r="A1303" s="19" t="n"/>
      <c r="B1303" s="19" t="n"/>
      <c r="C1303" s="19" t="n"/>
      <c r="D1303" s="19" t="n"/>
      <c r="E1303" s="19" t="n"/>
    </row>
    <row r="1304">
      <c r="A1304" s="19" t="n"/>
      <c r="B1304" s="19" t="n"/>
      <c r="C1304" s="19" t="n"/>
      <c r="D1304" s="19" t="n"/>
      <c r="E1304" s="19" t="n"/>
    </row>
    <row r="1305">
      <c r="A1305" s="19" t="n"/>
      <c r="B1305" s="19" t="n"/>
      <c r="C1305" s="19" t="n"/>
      <c r="D1305" s="19" t="n"/>
      <c r="E1305" s="19" t="n"/>
    </row>
    <row r="1306">
      <c r="A1306" s="19" t="n"/>
      <c r="B1306" s="19" t="n"/>
      <c r="C1306" s="19" t="n"/>
      <c r="D1306" s="19" t="n"/>
      <c r="E1306" s="19" t="n"/>
    </row>
    <row r="1307">
      <c r="A1307" s="19" t="n"/>
      <c r="B1307" s="19" t="n"/>
      <c r="C1307" s="19" t="n"/>
      <c r="D1307" s="19" t="n"/>
      <c r="E1307" s="19" t="n"/>
    </row>
    <row r="1308">
      <c r="A1308" s="19" t="n"/>
      <c r="B1308" s="19" t="n"/>
      <c r="C1308" s="19" t="n"/>
      <c r="D1308" s="19" t="n"/>
      <c r="E1308" s="19" t="n"/>
    </row>
    <row r="1309">
      <c r="A1309" s="19" t="n"/>
      <c r="B1309" s="19" t="n"/>
      <c r="C1309" s="19" t="n"/>
      <c r="D1309" s="19" t="n"/>
      <c r="E1309" s="19" t="n"/>
    </row>
    <row r="1310">
      <c r="A1310" s="19" t="n"/>
      <c r="B1310" s="19" t="n"/>
      <c r="C1310" s="19" t="n"/>
      <c r="D1310" s="19" t="n"/>
      <c r="E1310" s="19" t="n"/>
    </row>
    <row r="1311">
      <c r="A1311" s="19" t="n"/>
      <c r="B1311" s="19" t="n"/>
      <c r="C1311" s="19" t="n"/>
      <c r="D1311" s="19" t="n"/>
      <c r="E1311" s="19" t="n"/>
    </row>
    <row r="1312">
      <c r="A1312" s="19" t="n"/>
      <c r="B1312" s="19" t="n"/>
      <c r="C1312" s="19" t="n"/>
      <c r="D1312" s="19" t="n"/>
      <c r="E1312" s="19" t="n"/>
    </row>
    <row r="1313">
      <c r="A1313" s="19" t="n"/>
      <c r="B1313" s="19" t="n"/>
      <c r="C1313" s="19" t="n"/>
      <c r="D1313" s="19" t="n"/>
      <c r="E1313" s="19" t="n"/>
    </row>
    <row r="1314">
      <c r="A1314" s="19" t="n"/>
      <c r="B1314" s="19" t="n"/>
      <c r="C1314" s="19" t="n"/>
      <c r="D1314" s="19" t="n"/>
      <c r="E1314" s="19" t="n"/>
    </row>
    <row r="1315">
      <c r="A1315" s="19" t="n"/>
      <c r="B1315" s="19" t="n"/>
      <c r="C1315" s="19" t="n"/>
      <c r="D1315" s="19" t="n"/>
      <c r="E1315" s="19" t="n"/>
    </row>
    <row r="1316">
      <c r="A1316" s="19" t="n"/>
      <c r="B1316" s="19" t="n"/>
      <c r="C1316" s="19" t="n"/>
      <c r="D1316" s="19" t="n"/>
      <c r="E1316" s="19" t="n"/>
    </row>
    <row r="1317">
      <c r="A1317" s="19" t="n"/>
      <c r="B1317" s="19" t="n"/>
      <c r="C1317" s="19" t="n"/>
      <c r="D1317" s="19" t="n"/>
      <c r="E1317" s="19" t="n"/>
    </row>
    <row r="1318">
      <c r="A1318" s="19" t="n"/>
      <c r="B1318" s="19" t="n"/>
      <c r="C1318" s="19" t="n"/>
      <c r="D1318" s="19" t="n"/>
      <c r="E1318" s="19" t="n"/>
    </row>
    <row r="1319">
      <c r="A1319" s="19" t="n"/>
      <c r="B1319" s="19" t="n"/>
      <c r="C1319" s="19" t="n"/>
      <c r="D1319" s="19" t="n"/>
      <c r="E1319" s="19" t="n"/>
    </row>
    <row r="1320">
      <c r="A1320" s="19" t="n"/>
      <c r="B1320" s="19" t="n"/>
      <c r="C1320" s="19" t="n"/>
      <c r="D1320" s="19" t="n"/>
      <c r="E1320" s="19" t="n"/>
    </row>
    <row r="1321">
      <c r="A1321" s="19" t="n"/>
      <c r="B1321" s="19" t="n"/>
      <c r="C1321" s="19" t="n"/>
      <c r="D1321" s="19" t="n"/>
      <c r="E1321" s="19" t="n"/>
    </row>
    <row r="1322">
      <c r="A1322" s="19" t="n"/>
      <c r="B1322" s="19" t="n"/>
      <c r="C1322" s="19" t="n"/>
      <c r="D1322" s="19" t="n"/>
      <c r="E1322" s="19" t="n"/>
    </row>
    <row r="1323">
      <c r="A1323" s="19" t="n"/>
      <c r="B1323" s="19" t="n"/>
      <c r="C1323" s="19" t="n"/>
      <c r="D1323" s="19" t="n"/>
      <c r="E1323" s="19" t="n"/>
    </row>
    <row r="1324">
      <c r="A1324" s="19" t="n"/>
      <c r="B1324" s="19" t="n"/>
      <c r="C1324" s="19" t="n"/>
      <c r="D1324" s="19" t="n"/>
      <c r="E1324" s="19" t="n"/>
    </row>
    <row r="1325">
      <c r="A1325" s="19" t="n"/>
      <c r="B1325" s="19" t="n"/>
      <c r="C1325" s="19" t="n"/>
      <c r="D1325" s="19" t="n"/>
      <c r="E1325" s="19" t="n"/>
    </row>
    <row r="1326">
      <c r="A1326" s="19" t="n"/>
      <c r="B1326" s="19" t="n"/>
      <c r="C1326" s="19" t="n"/>
      <c r="D1326" s="19" t="n"/>
      <c r="E1326" s="19" t="n"/>
    </row>
    <row r="1327">
      <c r="A1327" s="19" t="n"/>
      <c r="B1327" s="19" t="n"/>
      <c r="C1327" s="19" t="n"/>
      <c r="D1327" s="19" t="n"/>
      <c r="E1327" s="19" t="n"/>
    </row>
    <row r="1328">
      <c r="A1328" s="19" t="n"/>
      <c r="B1328" s="19" t="n"/>
      <c r="C1328" s="19" t="n"/>
      <c r="D1328" s="19" t="n"/>
      <c r="E1328" s="19" t="n"/>
    </row>
    <row r="1329">
      <c r="A1329" s="19" t="n"/>
      <c r="B1329" s="19" t="n"/>
      <c r="C1329" s="19" t="n"/>
      <c r="D1329" s="19" t="n"/>
      <c r="E1329" s="19" t="n"/>
    </row>
    <row r="1330">
      <c r="A1330" s="19" t="n"/>
      <c r="B1330" s="19" t="n"/>
      <c r="C1330" s="19" t="n"/>
      <c r="D1330" s="19" t="n"/>
      <c r="E1330" s="19" t="n"/>
    </row>
    <row r="1331">
      <c r="A1331" s="19" t="n"/>
      <c r="B1331" s="19" t="n"/>
      <c r="C1331" s="19" t="n"/>
      <c r="D1331" s="19" t="n"/>
      <c r="E1331" s="19" t="n"/>
    </row>
    <row r="1332">
      <c r="A1332" s="19" t="n"/>
      <c r="B1332" s="19" t="n"/>
      <c r="C1332" s="19" t="n"/>
      <c r="D1332" s="19" t="n"/>
      <c r="E1332" s="19" t="n"/>
    </row>
    <row r="1333">
      <c r="A1333" s="19" t="n"/>
      <c r="B1333" s="19" t="n"/>
      <c r="C1333" s="19" t="n"/>
      <c r="D1333" s="19" t="n"/>
      <c r="E1333" s="19" t="n"/>
    </row>
    <row r="1334">
      <c r="A1334" s="19" t="n"/>
      <c r="B1334" s="19" t="n"/>
      <c r="C1334" s="19" t="n"/>
      <c r="D1334" s="19" t="n"/>
      <c r="E1334" s="19" t="n"/>
    </row>
    <row r="1335">
      <c r="A1335" s="19" t="n"/>
      <c r="B1335" s="19" t="n"/>
      <c r="C1335" s="19" t="n"/>
      <c r="D1335" s="19" t="n"/>
      <c r="E1335" s="19" t="n"/>
    </row>
    <row r="1336">
      <c r="A1336" s="19" t="n"/>
      <c r="B1336" s="19" t="n"/>
      <c r="C1336" s="19" t="n"/>
      <c r="D1336" s="19" t="n"/>
      <c r="E1336" s="19" t="n"/>
    </row>
    <row r="1337">
      <c r="A1337" s="19" t="n"/>
      <c r="B1337" s="19" t="n"/>
      <c r="C1337" s="19" t="n"/>
      <c r="D1337" s="19" t="n"/>
      <c r="E1337" s="19" t="n"/>
    </row>
    <row r="1338">
      <c r="A1338" s="19" t="n"/>
      <c r="B1338" s="19" t="n"/>
      <c r="C1338" s="19" t="n"/>
      <c r="D1338" s="19" t="n"/>
      <c r="E1338" s="19" t="n"/>
    </row>
    <row r="1339">
      <c r="A1339" s="19" t="n"/>
      <c r="B1339" s="19" t="n"/>
      <c r="C1339" s="19" t="n"/>
      <c r="D1339" s="19" t="n"/>
      <c r="E1339" s="19" t="n"/>
    </row>
    <row r="1340">
      <c r="A1340" s="19" t="n"/>
      <c r="B1340" s="19" t="n"/>
      <c r="C1340" s="19" t="n"/>
      <c r="D1340" s="19" t="n"/>
      <c r="E1340" s="19" t="n"/>
    </row>
    <row r="1341">
      <c r="A1341" s="19" t="n"/>
      <c r="B1341" s="19" t="n"/>
      <c r="C1341" s="19" t="n"/>
      <c r="D1341" s="19" t="n"/>
      <c r="E1341" s="19" t="n"/>
    </row>
    <row r="1342">
      <c r="A1342" s="19" t="n"/>
      <c r="B1342" s="19" t="n"/>
      <c r="C1342" s="19" t="n"/>
      <c r="D1342" s="19" t="n"/>
      <c r="E1342" s="19" t="n"/>
    </row>
    <row r="1343">
      <c r="A1343" s="19" t="n"/>
      <c r="B1343" s="19" t="n"/>
      <c r="C1343" s="19" t="n"/>
      <c r="D1343" s="19" t="n"/>
      <c r="E1343" s="19" t="n"/>
    </row>
    <row r="1344">
      <c r="A1344" s="19" t="n"/>
      <c r="B1344" s="19" t="n"/>
      <c r="C1344" s="19" t="n"/>
      <c r="D1344" s="19" t="n"/>
      <c r="E1344" s="19" t="n"/>
    </row>
    <row r="1345">
      <c r="A1345" s="19" t="n"/>
      <c r="B1345" s="19" t="n"/>
      <c r="C1345" s="19" t="n"/>
      <c r="D1345" s="19" t="n"/>
      <c r="E1345" s="19" t="n"/>
    </row>
    <row r="1346">
      <c r="A1346" s="19" t="n"/>
      <c r="B1346" s="19" t="n"/>
      <c r="C1346" s="19" t="n"/>
      <c r="D1346" s="19" t="n"/>
      <c r="E1346" s="19" t="n"/>
    </row>
    <row r="1347">
      <c r="A1347" s="19" t="n"/>
      <c r="B1347" s="19" t="n"/>
      <c r="C1347" s="19" t="n"/>
      <c r="D1347" s="19" t="n"/>
      <c r="E1347" s="19" t="n"/>
    </row>
    <row r="1348">
      <c r="A1348" s="19" t="n"/>
      <c r="B1348" s="19" t="n"/>
      <c r="C1348" s="19" t="n"/>
      <c r="D1348" s="19" t="n"/>
      <c r="E1348" s="19" t="n"/>
    </row>
    <row r="1349">
      <c r="A1349" s="19" t="n"/>
      <c r="B1349" s="19" t="n"/>
      <c r="C1349" s="19" t="n"/>
      <c r="D1349" s="19" t="n"/>
      <c r="E1349" s="19" t="n"/>
    </row>
    <row r="1350">
      <c r="A1350" s="19" t="n"/>
      <c r="B1350" s="19" t="n"/>
      <c r="C1350" s="19" t="n"/>
      <c r="D1350" s="19" t="n"/>
      <c r="E1350" s="19" t="n"/>
    </row>
    <row r="1351">
      <c r="A1351" s="19" t="n"/>
      <c r="B1351" s="19" t="n"/>
      <c r="C1351" s="19" t="n"/>
      <c r="D1351" s="19" t="n"/>
      <c r="E1351" s="19" t="n"/>
    </row>
    <row r="1352">
      <c r="A1352" s="19" t="n"/>
      <c r="B1352" s="19" t="n"/>
      <c r="C1352" s="19" t="n"/>
      <c r="D1352" s="19" t="n"/>
      <c r="E1352" s="19" t="n"/>
    </row>
    <row r="1353">
      <c r="A1353" s="19" t="n"/>
      <c r="B1353" s="19" t="n"/>
      <c r="C1353" s="19" t="n"/>
      <c r="D1353" s="19" t="n"/>
      <c r="E1353" s="19" t="n"/>
    </row>
    <row r="1354">
      <c r="A1354" s="19" t="n"/>
      <c r="B1354" s="19" t="n"/>
      <c r="C1354" s="19" t="n"/>
      <c r="D1354" s="19" t="n"/>
      <c r="E1354" s="19" t="n"/>
    </row>
    <row r="1355">
      <c r="A1355" s="19" t="n"/>
      <c r="B1355" s="19" t="n"/>
      <c r="C1355" s="19" t="n"/>
      <c r="D1355" s="19" t="n"/>
      <c r="E1355" s="19" t="n"/>
    </row>
    <row r="1356">
      <c r="A1356" s="19" t="n"/>
      <c r="B1356" s="19" t="n"/>
      <c r="C1356" s="19" t="n"/>
      <c r="D1356" s="19" t="n"/>
      <c r="E1356" s="19" t="n"/>
    </row>
    <row r="1357">
      <c r="A1357" s="19" t="n"/>
      <c r="B1357" s="19" t="n"/>
      <c r="C1357" s="19" t="n"/>
      <c r="D1357" s="19" t="n"/>
      <c r="E1357" s="19" t="n"/>
    </row>
    <row r="1358">
      <c r="A1358" s="19" t="n"/>
      <c r="B1358" s="19" t="n"/>
      <c r="C1358" s="19" t="n"/>
      <c r="D1358" s="19" t="n"/>
      <c r="E1358" s="19" t="n"/>
    </row>
    <row r="1359">
      <c r="A1359" s="19" t="n"/>
      <c r="B1359" s="19" t="n"/>
      <c r="C1359" s="19" t="n"/>
      <c r="D1359" s="19" t="n"/>
      <c r="E1359" s="19" t="n"/>
    </row>
    <row r="1360">
      <c r="A1360" s="19" t="n"/>
      <c r="B1360" s="19" t="n"/>
      <c r="C1360" s="19" t="n"/>
      <c r="D1360" s="19" t="n"/>
      <c r="E1360" s="19" t="n"/>
    </row>
    <row r="1361">
      <c r="A1361" s="19" t="n"/>
      <c r="B1361" s="19" t="n"/>
      <c r="C1361" s="19" t="n"/>
      <c r="D1361" s="19" t="n"/>
      <c r="E1361" s="19" t="n"/>
    </row>
    <row r="1362">
      <c r="A1362" s="19" t="n"/>
      <c r="B1362" s="19" t="n"/>
      <c r="C1362" s="19" t="n"/>
      <c r="D1362" s="19" t="n"/>
      <c r="E1362" s="19" t="n"/>
    </row>
    <row r="1363">
      <c r="A1363" s="19" t="n"/>
      <c r="B1363" s="19" t="n"/>
      <c r="C1363" s="19" t="n"/>
      <c r="D1363" s="19" t="n"/>
      <c r="E1363" s="19" t="n"/>
    </row>
    <row r="1364">
      <c r="A1364" s="19" t="n"/>
      <c r="B1364" s="19" t="n"/>
      <c r="C1364" s="19" t="n"/>
      <c r="D1364" s="19" t="n"/>
      <c r="E1364" s="19" t="n"/>
    </row>
    <row r="1365">
      <c r="A1365" s="19" t="n"/>
      <c r="B1365" s="19" t="n"/>
      <c r="C1365" s="19" t="n"/>
      <c r="D1365" s="19" t="n"/>
      <c r="E1365" s="19" t="n"/>
    </row>
    <row r="1366">
      <c r="A1366" s="19" t="n"/>
      <c r="B1366" s="19" t="n"/>
      <c r="C1366" s="19" t="n"/>
      <c r="D1366" s="19" t="n"/>
      <c r="E1366" s="19" t="n"/>
    </row>
    <row r="1367">
      <c r="A1367" s="19" t="n"/>
      <c r="B1367" s="19" t="n"/>
      <c r="C1367" s="19" t="n"/>
      <c r="D1367" s="19" t="n"/>
      <c r="E1367" s="19" t="n"/>
    </row>
    <row r="1368">
      <c r="A1368" s="19" t="n"/>
      <c r="B1368" s="19" t="n"/>
      <c r="C1368" s="19" t="n"/>
      <c r="D1368" s="19" t="n"/>
      <c r="E1368" s="19" t="n"/>
    </row>
    <row r="1369">
      <c r="A1369" s="19" t="n"/>
      <c r="B1369" s="19" t="n"/>
      <c r="C1369" s="19" t="n"/>
      <c r="D1369" s="19" t="n"/>
      <c r="E1369" s="19" t="n"/>
    </row>
    <row r="1370">
      <c r="A1370" s="19" t="n"/>
      <c r="B1370" s="19" t="n"/>
      <c r="C1370" s="19" t="n"/>
      <c r="D1370" s="19" t="n"/>
      <c r="E1370" s="19" t="n"/>
    </row>
    <row r="1371">
      <c r="A1371" s="19" t="n"/>
      <c r="B1371" s="19" t="n"/>
      <c r="C1371" s="19" t="n"/>
      <c r="D1371" s="19" t="n"/>
      <c r="E1371" s="19" t="n"/>
    </row>
    <row r="1372">
      <c r="A1372" s="19" t="n"/>
      <c r="B1372" s="19" t="n"/>
      <c r="C1372" s="19" t="n"/>
      <c r="D1372" s="19" t="n"/>
      <c r="E1372" s="19" t="n"/>
    </row>
    <row r="1373">
      <c r="A1373" s="19" t="n"/>
      <c r="B1373" s="19" t="n"/>
      <c r="C1373" s="19" t="n"/>
      <c r="D1373" s="19" t="n"/>
      <c r="E1373" s="19" t="n"/>
    </row>
    <row r="1374">
      <c r="A1374" s="19" t="n"/>
      <c r="B1374" s="19" t="n"/>
      <c r="C1374" s="19" t="n"/>
      <c r="D1374" s="19" t="n"/>
      <c r="E1374" s="19" t="n"/>
    </row>
    <row r="1375">
      <c r="A1375" s="19" t="n"/>
      <c r="B1375" s="19" t="n"/>
      <c r="C1375" s="19" t="n"/>
      <c r="D1375" s="19" t="n"/>
      <c r="E1375" s="19" t="n"/>
    </row>
    <row r="1376">
      <c r="A1376" s="19" t="n"/>
      <c r="B1376" s="19" t="n"/>
      <c r="C1376" s="19" t="n"/>
      <c r="D1376" s="19" t="n"/>
      <c r="E1376" s="19" t="n"/>
    </row>
    <row r="1377">
      <c r="A1377" s="19" t="n"/>
      <c r="B1377" s="19" t="n"/>
      <c r="C1377" s="19" t="n"/>
      <c r="D1377" s="19" t="n"/>
      <c r="E1377" s="19" t="n"/>
    </row>
    <row r="1378">
      <c r="A1378" s="19" t="n"/>
      <c r="B1378" s="19" t="n"/>
      <c r="C1378" s="19" t="n"/>
      <c r="D1378" s="19" t="n"/>
      <c r="E1378" s="19" t="n"/>
    </row>
    <row r="1379">
      <c r="A1379" s="19" t="n"/>
      <c r="B1379" s="19" t="n"/>
      <c r="C1379" s="19" t="n"/>
      <c r="D1379" s="19" t="n"/>
      <c r="E1379" s="19" t="n"/>
    </row>
    <row r="1380">
      <c r="A1380" s="19" t="n"/>
      <c r="B1380" s="19" t="n"/>
      <c r="C1380" s="19" t="n"/>
      <c r="D1380" s="19" t="n"/>
      <c r="E1380" s="19" t="n"/>
    </row>
    <row r="1381">
      <c r="A1381" s="19" t="n"/>
      <c r="B1381" s="19" t="n"/>
      <c r="C1381" s="19" t="n"/>
      <c r="D1381" s="19" t="n"/>
      <c r="E1381" s="19" t="n"/>
    </row>
    <row r="1382">
      <c r="A1382" s="19" t="n"/>
      <c r="B1382" s="19" t="n"/>
      <c r="C1382" s="19" t="n"/>
      <c r="D1382" s="19" t="n"/>
      <c r="E1382" s="19" t="n"/>
    </row>
    <row r="1383">
      <c r="A1383" s="19" t="n"/>
      <c r="B1383" s="19" t="n"/>
      <c r="C1383" s="19" t="n"/>
      <c r="D1383" s="19" t="n"/>
      <c r="E1383" s="19" t="n"/>
    </row>
    <row r="1384">
      <c r="A1384" s="19" t="n"/>
      <c r="B1384" s="19" t="n"/>
      <c r="C1384" s="19" t="n"/>
      <c r="D1384" s="19" t="n"/>
      <c r="E1384" s="19" t="n"/>
    </row>
    <row r="1385">
      <c r="A1385" s="19" t="n"/>
      <c r="B1385" s="19" t="n"/>
      <c r="C1385" s="19" t="n"/>
      <c r="D1385" s="19" t="n"/>
      <c r="E1385" s="19" t="n"/>
    </row>
    <row r="1386">
      <c r="A1386" s="19" t="n"/>
      <c r="B1386" s="19" t="n"/>
      <c r="C1386" s="19" t="n"/>
      <c r="D1386" s="19" t="n"/>
      <c r="E1386" s="19" t="n"/>
    </row>
    <row r="1387">
      <c r="A1387" s="19" t="n"/>
      <c r="B1387" s="19" t="n"/>
      <c r="C1387" s="19" t="n"/>
      <c r="D1387" s="19" t="n"/>
      <c r="E1387" s="19" t="n"/>
    </row>
    <row r="1388">
      <c r="A1388" s="19" t="n"/>
      <c r="B1388" s="19" t="n"/>
      <c r="C1388" s="19" t="n"/>
      <c r="D1388" s="19" t="n"/>
      <c r="E1388" s="19" t="n"/>
    </row>
    <row r="1389">
      <c r="A1389" s="19" t="n"/>
      <c r="B1389" s="19" t="n"/>
      <c r="C1389" s="19" t="n"/>
      <c r="D1389" s="19" t="n"/>
      <c r="E1389" s="19" t="n"/>
    </row>
    <row r="1390">
      <c r="A1390" s="19" t="n"/>
      <c r="B1390" s="19" t="n"/>
      <c r="C1390" s="19" t="n"/>
      <c r="D1390" s="19" t="n"/>
      <c r="E1390" s="19" t="n"/>
    </row>
    <row r="1391">
      <c r="A1391" s="19" t="n"/>
      <c r="B1391" s="19" t="n"/>
      <c r="C1391" s="19" t="n"/>
      <c r="D1391" s="19" t="n"/>
      <c r="E1391" s="19" t="n"/>
    </row>
    <row r="1392">
      <c r="A1392" s="19" t="n"/>
      <c r="B1392" s="19" t="n"/>
      <c r="C1392" s="19" t="n"/>
      <c r="D1392" s="19" t="n"/>
      <c r="E1392" s="19" t="n"/>
    </row>
    <row r="1393">
      <c r="A1393" s="19" t="n"/>
      <c r="B1393" s="19" t="n"/>
      <c r="C1393" s="19" t="n"/>
      <c r="D1393" s="19" t="n"/>
      <c r="E1393" s="19" t="n"/>
    </row>
    <row r="1394">
      <c r="A1394" s="19" t="n"/>
      <c r="B1394" s="19" t="n"/>
      <c r="C1394" s="19" t="n"/>
      <c r="D1394" s="19" t="n"/>
      <c r="E1394" s="19" t="n"/>
    </row>
    <row r="1395">
      <c r="A1395" s="19" t="n"/>
      <c r="B1395" s="19" t="n"/>
      <c r="C1395" s="19" t="n"/>
      <c r="D1395" s="19" t="n"/>
      <c r="E1395" s="19" t="n"/>
    </row>
    <row r="1396">
      <c r="A1396" s="19" t="n"/>
      <c r="B1396" s="19" t="n"/>
      <c r="C1396" s="19" t="n"/>
      <c r="D1396" s="19" t="n"/>
      <c r="E1396" s="19" t="n"/>
    </row>
    <row r="1397">
      <c r="A1397" s="19" t="n"/>
      <c r="B1397" s="19" t="n"/>
      <c r="C1397" s="19" t="n"/>
      <c r="D1397" s="19" t="n"/>
      <c r="E1397" s="19" t="n"/>
    </row>
    <row r="1398">
      <c r="A1398" s="19" t="n"/>
      <c r="B1398" s="19" t="n"/>
      <c r="C1398" s="19" t="n"/>
      <c r="D1398" s="19" t="n"/>
      <c r="E1398" s="19" t="n"/>
    </row>
    <row r="1399">
      <c r="A1399" s="19" t="n"/>
      <c r="B1399" s="19" t="n"/>
      <c r="C1399" s="19" t="n"/>
      <c r="D1399" s="19" t="n"/>
      <c r="E1399" s="19" t="n"/>
    </row>
    <row r="1400">
      <c r="A1400" s="19" t="n"/>
      <c r="B1400" s="19" t="n"/>
      <c r="C1400" s="19" t="n"/>
      <c r="D1400" s="19" t="n"/>
      <c r="E1400" s="19" t="n"/>
    </row>
    <row r="1401">
      <c r="A1401" s="19" t="n"/>
      <c r="B1401" s="19" t="n"/>
      <c r="C1401" s="19" t="n"/>
      <c r="D1401" s="19" t="n"/>
      <c r="E1401" s="19" t="n"/>
    </row>
    <row r="1402">
      <c r="A1402" s="19" t="n"/>
      <c r="B1402" s="19" t="n"/>
      <c r="C1402" s="19" t="n"/>
      <c r="D1402" s="19" t="n"/>
      <c r="E1402" s="19" t="n"/>
    </row>
    <row r="1403">
      <c r="A1403" s="19" t="n"/>
      <c r="B1403" s="19" t="n"/>
      <c r="C1403" s="19" t="n"/>
      <c r="D1403" s="19" t="n"/>
      <c r="E1403" s="19" t="n"/>
    </row>
    <row r="1404">
      <c r="A1404" s="19" t="n"/>
      <c r="B1404" s="19" t="n"/>
      <c r="C1404" s="19" t="n"/>
      <c r="D1404" s="19" t="n"/>
      <c r="E1404" s="19" t="n"/>
    </row>
    <row r="1405">
      <c r="A1405" s="19" t="n"/>
      <c r="B1405" s="19" t="n"/>
      <c r="C1405" s="19" t="n"/>
      <c r="D1405" s="19" t="n"/>
      <c r="E1405" s="19" t="n"/>
    </row>
    <row r="1406">
      <c r="A1406" s="19" t="n"/>
      <c r="B1406" s="19" t="n"/>
      <c r="C1406" s="19" t="n"/>
      <c r="D1406" s="19" t="n"/>
      <c r="E1406" s="19" t="n"/>
    </row>
    <row r="1407">
      <c r="A1407" s="19" t="n"/>
      <c r="B1407" s="19" t="n"/>
      <c r="C1407" s="19" t="n"/>
      <c r="D1407" s="19" t="n"/>
      <c r="E1407" s="19" t="n"/>
    </row>
    <row r="1408">
      <c r="A1408" s="19" t="n"/>
      <c r="B1408" s="19" t="n"/>
      <c r="C1408" s="19" t="n"/>
      <c r="D1408" s="19" t="n"/>
      <c r="E1408" s="19" t="n"/>
    </row>
    <row r="1409">
      <c r="A1409" s="19" t="n"/>
      <c r="B1409" s="19" t="n"/>
      <c r="C1409" s="19" t="n"/>
      <c r="D1409" s="19" t="n"/>
      <c r="E1409" s="19" t="n"/>
    </row>
    <row r="1410">
      <c r="A1410" s="19" t="n"/>
      <c r="B1410" s="19" t="n"/>
      <c r="C1410" s="19" t="n"/>
      <c r="D1410" s="19" t="n"/>
      <c r="E1410" s="19" t="n"/>
    </row>
    <row r="1411">
      <c r="A1411" s="19" t="n"/>
      <c r="B1411" s="19" t="n"/>
      <c r="C1411" s="19" t="n"/>
      <c r="D1411" s="19" t="n"/>
      <c r="E1411" s="19" t="n"/>
    </row>
    <row r="1412">
      <c r="A1412" s="19" t="n"/>
      <c r="B1412" s="19" t="n"/>
      <c r="C1412" s="19" t="n"/>
      <c r="D1412" s="19" t="n"/>
      <c r="E1412" s="19" t="n"/>
    </row>
    <row r="1413">
      <c r="A1413" s="19" t="n"/>
      <c r="B1413" s="19" t="n"/>
      <c r="C1413" s="19" t="n"/>
      <c r="D1413" s="19" t="n"/>
      <c r="E1413" s="19" t="n"/>
    </row>
    <row r="1414">
      <c r="A1414" s="19" t="n"/>
      <c r="B1414" s="19" t="n"/>
      <c r="C1414" s="19" t="n"/>
      <c r="D1414" s="19" t="n"/>
      <c r="E1414" s="19" t="n"/>
    </row>
    <row r="1415">
      <c r="A1415" s="19" t="n"/>
      <c r="B1415" s="19" t="n"/>
      <c r="C1415" s="19" t="n"/>
      <c r="D1415" s="19" t="n"/>
      <c r="E1415" s="19" t="n"/>
    </row>
    <row r="1416">
      <c r="A1416" s="19" t="n"/>
      <c r="B1416" s="19" t="n"/>
      <c r="C1416" s="19" t="n"/>
      <c r="D1416" s="19" t="n"/>
      <c r="E1416" s="19" t="n"/>
    </row>
    <row r="1417">
      <c r="A1417" s="19" t="n"/>
      <c r="B1417" s="19" t="n"/>
      <c r="C1417" s="19" t="n"/>
      <c r="D1417" s="19" t="n"/>
      <c r="E1417" s="19" t="n"/>
    </row>
    <row r="1418">
      <c r="A1418" s="19" t="n"/>
      <c r="B1418" s="19" t="n"/>
      <c r="C1418" s="19" t="n"/>
      <c r="D1418" s="19" t="n"/>
      <c r="E1418" s="19" t="n"/>
    </row>
    <row r="1419">
      <c r="A1419" s="19" t="n"/>
      <c r="B1419" s="19" t="n"/>
      <c r="C1419" s="19" t="n"/>
      <c r="D1419" s="19" t="n"/>
      <c r="E1419" s="19" t="n"/>
    </row>
    <row r="1420">
      <c r="A1420" s="19" t="n"/>
      <c r="B1420" s="19" t="n"/>
      <c r="C1420" s="19" t="n"/>
      <c r="D1420" s="19" t="n"/>
      <c r="E1420" s="19" t="n"/>
    </row>
    <row r="1421">
      <c r="A1421" s="19" t="n"/>
      <c r="B1421" s="19" t="n"/>
      <c r="C1421" s="19" t="n"/>
      <c r="D1421" s="19" t="n"/>
      <c r="E1421" s="19" t="n"/>
    </row>
    <row r="1422">
      <c r="A1422" s="19" t="n"/>
      <c r="B1422" s="19" t="n"/>
      <c r="C1422" s="19" t="n"/>
      <c r="D1422" s="19" t="n"/>
      <c r="E1422" s="19" t="n"/>
    </row>
    <row r="1423">
      <c r="A1423" s="19" t="n"/>
      <c r="B1423" s="19" t="n"/>
      <c r="C1423" s="19" t="n"/>
      <c r="D1423" s="19" t="n"/>
      <c r="E1423" s="19" t="n"/>
    </row>
    <row r="1424">
      <c r="A1424" s="19" t="n"/>
      <c r="B1424" s="19" t="n"/>
      <c r="C1424" s="19" t="n"/>
      <c r="D1424" s="19" t="n"/>
      <c r="E1424" s="19" t="n"/>
    </row>
    <row r="1425">
      <c r="A1425" s="19" t="n"/>
      <c r="B1425" s="19" t="n"/>
      <c r="C1425" s="19" t="n"/>
      <c r="D1425" s="19" t="n"/>
      <c r="E1425" s="19" t="n"/>
    </row>
    <row r="1426">
      <c r="A1426" s="19" t="n"/>
      <c r="B1426" s="19" t="n"/>
      <c r="C1426" s="19" t="n"/>
      <c r="D1426" s="19" t="n"/>
      <c r="E1426" s="19" t="n"/>
    </row>
    <row r="1427">
      <c r="A1427" s="19" t="n"/>
      <c r="B1427" s="19" t="n"/>
      <c r="C1427" s="19" t="n"/>
      <c r="D1427" s="19" t="n"/>
      <c r="E1427" s="19" t="n"/>
    </row>
    <row r="1428">
      <c r="A1428" s="19" t="n"/>
      <c r="B1428" s="19" t="n"/>
      <c r="C1428" s="19" t="n"/>
      <c r="D1428" s="19" t="n"/>
      <c r="E1428" s="19" t="n"/>
    </row>
    <row r="1429">
      <c r="A1429" s="19" t="n"/>
      <c r="B1429" s="19" t="n"/>
      <c r="C1429" s="19" t="n"/>
      <c r="D1429" s="19" t="n"/>
      <c r="E1429" s="19" t="n"/>
    </row>
    <row r="1430">
      <c r="A1430" s="19" t="n"/>
      <c r="B1430" s="19" t="n"/>
      <c r="C1430" s="19" t="n"/>
      <c r="D1430" s="19" t="n"/>
      <c r="E1430" s="19" t="n"/>
    </row>
    <row r="1431">
      <c r="A1431" s="19" t="n"/>
      <c r="B1431" s="19" t="n"/>
      <c r="C1431" s="19" t="n"/>
      <c r="D1431" s="19" t="n"/>
      <c r="E1431" s="19" t="n"/>
    </row>
    <row r="1432">
      <c r="A1432" s="19" t="n"/>
      <c r="B1432" s="19" t="n"/>
      <c r="C1432" s="19" t="n"/>
      <c r="D1432" s="19" t="n"/>
      <c r="E1432" s="19" t="n"/>
    </row>
    <row r="1433">
      <c r="A1433" s="19" t="n"/>
      <c r="B1433" s="19" t="n"/>
      <c r="C1433" s="19" t="n"/>
      <c r="D1433" s="19" t="n"/>
      <c r="E1433" s="19" t="n"/>
    </row>
    <row r="1434">
      <c r="A1434" s="19" t="n"/>
      <c r="B1434" s="19" t="n"/>
      <c r="C1434" s="19" t="n"/>
      <c r="D1434" s="19" t="n"/>
      <c r="E1434" s="19" t="n"/>
    </row>
    <row r="1435">
      <c r="A1435" s="19" t="n"/>
      <c r="B1435" s="19" t="n"/>
      <c r="C1435" s="19" t="n"/>
      <c r="D1435" s="19" t="n"/>
      <c r="E1435" s="19" t="n"/>
    </row>
    <row r="1436">
      <c r="A1436" s="19" t="n"/>
      <c r="B1436" s="19" t="n"/>
      <c r="C1436" s="19" t="n"/>
      <c r="D1436" s="19" t="n"/>
      <c r="E1436" s="19" t="n"/>
    </row>
    <row r="1437">
      <c r="A1437" s="19" t="n"/>
      <c r="B1437" s="19" t="n"/>
      <c r="C1437" s="19" t="n"/>
      <c r="D1437" s="19" t="n"/>
      <c r="E1437" s="19" t="n"/>
    </row>
    <row r="1438">
      <c r="A1438" s="19" t="n"/>
      <c r="B1438" s="19" t="n"/>
      <c r="C1438" s="19" t="n"/>
      <c r="D1438" s="19" t="n"/>
      <c r="E1438" s="19" t="n"/>
    </row>
    <row r="1439">
      <c r="A1439" s="19" t="n"/>
      <c r="B1439" s="19" t="n"/>
      <c r="C1439" s="19" t="n"/>
      <c r="D1439" s="19" t="n"/>
      <c r="E1439" s="19" t="n"/>
    </row>
    <row r="1440">
      <c r="A1440" s="19" t="n"/>
      <c r="B1440" s="19" t="n"/>
      <c r="C1440" s="19" t="n"/>
      <c r="D1440" s="19" t="n"/>
      <c r="E1440" s="19" t="n"/>
    </row>
    <row r="1441">
      <c r="A1441" s="19" t="n"/>
      <c r="B1441" s="19" t="n"/>
      <c r="C1441" s="19" t="n"/>
      <c r="D1441" s="19" t="n"/>
      <c r="E1441" s="19" t="n"/>
    </row>
    <row r="1442">
      <c r="A1442" s="19" t="n"/>
      <c r="B1442" s="19" t="n"/>
      <c r="C1442" s="19" t="n"/>
      <c r="D1442" s="19" t="n"/>
      <c r="E1442" s="19" t="n"/>
    </row>
    <row r="1443">
      <c r="A1443" s="19" t="n"/>
      <c r="B1443" s="19" t="n"/>
      <c r="C1443" s="19" t="n"/>
      <c r="D1443" s="19" t="n"/>
      <c r="E1443" s="19" t="n"/>
    </row>
    <row r="1444">
      <c r="A1444" s="19" t="n"/>
      <c r="B1444" s="19" t="n"/>
      <c r="C1444" s="19" t="n"/>
      <c r="D1444" s="19" t="n"/>
      <c r="E1444" s="19" t="n"/>
    </row>
    <row r="1445">
      <c r="A1445" s="19" t="n"/>
      <c r="B1445" s="19" t="n"/>
      <c r="C1445" s="19" t="n"/>
      <c r="D1445" s="19" t="n"/>
      <c r="E1445" s="19" t="n"/>
    </row>
    <row r="1446">
      <c r="A1446" s="19" t="n"/>
      <c r="B1446" s="19" t="n"/>
      <c r="C1446" s="19" t="n"/>
      <c r="D1446" s="19" t="n"/>
      <c r="E1446" s="19" t="n"/>
    </row>
    <row r="1447">
      <c r="A1447" s="19" t="n"/>
      <c r="B1447" s="19" t="n"/>
      <c r="C1447" s="19" t="n"/>
      <c r="D1447" s="19" t="n"/>
      <c r="E1447" s="19" t="n"/>
    </row>
    <row r="1448">
      <c r="A1448" s="19" t="n"/>
      <c r="B1448" s="19" t="n"/>
      <c r="C1448" s="19" t="n"/>
      <c r="D1448" s="19" t="n"/>
      <c r="E1448" s="19" t="n"/>
    </row>
    <row r="1449">
      <c r="A1449" s="19" t="n"/>
      <c r="B1449" s="19" t="n"/>
      <c r="C1449" s="19" t="n"/>
      <c r="D1449" s="19" t="n"/>
      <c r="E1449" s="19" t="n"/>
    </row>
    <row r="1450">
      <c r="A1450" s="19" t="n"/>
      <c r="B1450" s="19" t="n"/>
      <c r="C1450" s="19" t="n"/>
      <c r="D1450" s="19" t="n"/>
      <c r="E1450" s="19" t="n"/>
    </row>
    <row r="1451">
      <c r="A1451" s="19" t="n"/>
      <c r="B1451" s="19" t="n"/>
      <c r="C1451" s="19" t="n"/>
      <c r="D1451" s="19" t="n"/>
      <c r="E1451" s="19" t="n"/>
    </row>
    <row r="1452">
      <c r="A1452" s="19" t="n"/>
      <c r="B1452" s="19" t="n"/>
      <c r="C1452" s="19" t="n"/>
      <c r="D1452" s="19" t="n"/>
      <c r="E1452" s="19" t="n"/>
    </row>
    <row r="1453">
      <c r="A1453" s="19" t="n"/>
      <c r="B1453" s="19" t="n"/>
      <c r="C1453" s="19" t="n"/>
      <c r="D1453" s="19" t="n"/>
      <c r="E1453" s="19" t="n"/>
    </row>
    <row r="1454">
      <c r="A1454" s="19" t="n"/>
      <c r="B1454" s="19" t="n"/>
      <c r="C1454" s="19" t="n"/>
      <c r="D1454" s="19" t="n"/>
      <c r="E1454" s="19" t="n"/>
    </row>
    <row r="1455">
      <c r="A1455" s="19" t="n"/>
      <c r="B1455" s="19" t="n"/>
      <c r="C1455" s="19" t="n"/>
      <c r="D1455" s="19" t="n"/>
      <c r="E1455" s="19" t="n"/>
    </row>
    <row r="1456">
      <c r="A1456" s="19" t="n"/>
      <c r="B1456" s="19" t="n"/>
      <c r="C1456" s="19" t="n"/>
      <c r="D1456" s="19" t="n"/>
      <c r="E1456" s="19" t="n"/>
    </row>
    <row r="1457">
      <c r="A1457" s="19" t="n"/>
      <c r="B1457" s="19" t="n"/>
      <c r="C1457" s="19" t="n"/>
      <c r="D1457" s="19" t="n"/>
      <c r="E1457" s="19" t="n"/>
    </row>
    <row r="1458">
      <c r="A1458" s="19" t="n"/>
      <c r="B1458" s="19" t="n"/>
      <c r="C1458" s="19" t="n"/>
      <c r="D1458" s="19" t="n"/>
      <c r="E1458" s="19" t="n"/>
    </row>
    <row r="1459">
      <c r="A1459" s="19" t="n"/>
      <c r="B1459" s="19" t="n"/>
      <c r="C1459" s="19" t="n"/>
      <c r="D1459" s="19" t="n"/>
      <c r="E1459" s="19" t="n"/>
    </row>
    <row r="1460">
      <c r="A1460" s="19" t="n"/>
      <c r="B1460" s="19" t="n"/>
      <c r="C1460" s="19" t="n"/>
      <c r="D1460" s="19" t="n"/>
      <c r="E1460" s="19" t="n"/>
    </row>
    <row r="1461">
      <c r="A1461" s="19" t="n"/>
      <c r="B1461" s="19" t="n"/>
      <c r="C1461" s="19" t="n"/>
      <c r="D1461" s="19" t="n"/>
      <c r="E1461" s="19" t="n"/>
    </row>
    <row r="1462">
      <c r="A1462" s="19" t="n"/>
      <c r="B1462" s="19" t="n"/>
      <c r="C1462" s="19" t="n"/>
      <c r="D1462" s="19" t="n"/>
      <c r="E1462" s="19" t="n"/>
    </row>
    <row r="1463">
      <c r="A1463" s="19" t="n"/>
      <c r="B1463" s="19" t="n"/>
      <c r="C1463" s="19" t="n"/>
      <c r="D1463" s="19" t="n"/>
      <c r="E1463" s="19" t="n"/>
    </row>
    <row r="1464">
      <c r="A1464" s="19" t="n"/>
      <c r="B1464" s="19" t="n"/>
      <c r="C1464" s="19" t="n"/>
      <c r="D1464" s="19" t="n"/>
      <c r="E1464" s="19" t="n"/>
    </row>
    <row r="1465">
      <c r="A1465" s="19" t="n"/>
      <c r="B1465" s="19" t="n"/>
      <c r="C1465" s="19" t="n"/>
      <c r="D1465" s="19" t="n"/>
      <c r="E1465" s="19" t="n"/>
    </row>
    <row r="1466">
      <c r="A1466" s="19" t="n"/>
      <c r="B1466" s="19" t="n"/>
      <c r="C1466" s="19" t="n"/>
      <c r="D1466" s="19" t="n"/>
      <c r="E1466" s="19" t="n"/>
    </row>
    <row r="1467">
      <c r="A1467" s="19" t="n"/>
      <c r="B1467" s="19" t="n"/>
      <c r="C1467" s="19" t="n"/>
      <c r="D1467" s="19" t="n"/>
      <c r="E1467" s="19" t="n"/>
    </row>
    <row r="1468">
      <c r="A1468" s="19" t="n"/>
      <c r="B1468" s="19" t="n"/>
      <c r="C1468" s="19" t="n"/>
      <c r="D1468" s="19" t="n"/>
      <c r="E1468" s="19" t="n"/>
    </row>
    <row r="1469">
      <c r="A1469" s="19" t="n"/>
      <c r="B1469" s="19" t="n"/>
      <c r="C1469" s="19" t="n"/>
      <c r="D1469" s="19" t="n"/>
      <c r="E1469" s="19" t="n"/>
    </row>
    <row r="1470">
      <c r="A1470" s="19" t="n"/>
      <c r="B1470" s="19" t="n"/>
      <c r="C1470" s="19" t="n"/>
      <c r="D1470" s="19" t="n"/>
      <c r="E1470" s="19" t="n"/>
    </row>
    <row r="1471">
      <c r="A1471" s="19" t="n"/>
      <c r="B1471" s="19" t="n"/>
      <c r="C1471" s="19" t="n"/>
      <c r="D1471" s="19" t="n"/>
      <c r="E1471" s="19" t="n"/>
    </row>
    <row r="1472">
      <c r="A1472" s="19" t="n"/>
      <c r="B1472" s="19" t="n"/>
      <c r="C1472" s="19" t="n"/>
      <c r="D1472" s="19" t="n"/>
      <c r="E1472" s="19" t="n"/>
    </row>
    <row r="1473">
      <c r="A1473" s="19" t="n"/>
      <c r="B1473" s="19" t="n"/>
      <c r="C1473" s="19" t="n"/>
      <c r="D1473" s="19" t="n"/>
      <c r="E1473" s="19" t="n"/>
    </row>
    <row r="1474">
      <c r="A1474" s="19" t="n"/>
      <c r="B1474" s="19" t="n"/>
      <c r="C1474" s="19" t="n"/>
      <c r="D1474" s="19" t="n"/>
      <c r="E1474" s="19" t="n"/>
    </row>
    <row r="1475">
      <c r="A1475" s="19" t="n"/>
      <c r="B1475" s="19" t="n"/>
      <c r="C1475" s="19" t="n"/>
      <c r="D1475" s="19" t="n"/>
      <c r="E1475" s="19" t="n"/>
    </row>
    <row r="1476">
      <c r="A1476" s="19" t="n"/>
      <c r="B1476" s="19" t="n"/>
      <c r="C1476" s="19" t="n"/>
      <c r="D1476" s="19" t="n"/>
      <c r="E1476" s="19" t="n"/>
    </row>
    <row r="1477">
      <c r="A1477" s="19" t="n"/>
      <c r="B1477" s="19" t="n"/>
      <c r="C1477" s="19" t="n"/>
      <c r="D1477" s="19" t="n"/>
      <c r="E1477" s="19" t="n"/>
    </row>
    <row r="1478">
      <c r="A1478" s="19" t="n"/>
      <c r="B1478" s="19" t="n"/>
      <c r="C1478" s="19" t="n"/>
      <c r="D1478" s="19" t="n"/>
      <c r="E1478" s="19" t="n"/>
    </row>
    <row r="1479">
      <c r="A1479" s="19" t="n"/>
      <c r="B1479" s="19" t="n"/>
      <c r="C1479" s="19" t="n"/>
      <c r="D1479" s="19" t="n"/>
      <c r="E1479" s="19" t="n"/>
    </row>
    <row r="1480">
      <c r="A1480" s="19" t="n"/>
      <c r="B1480" s="19" t="n"/>
      <c r="C1480" s="19" t="n"/>
      <c r="D1480" s="19" t="n"/>
      <c r="E1480" s="19" t="n"/>
    </row>
    <row r="1481">
      <c r="A1481" s="19" t="n"/>
      <c r="B1481" s="19" t="n"/>
      <c r="C1481" s="19" t="n"/>
      <c r="D1481" s="19" t="n"/>
      <c r="E1481" s="19" t="n"/>
    </row>
    <row r="1482">
      <c r="A1482" s="19" t="n"/>
      <c r="B1482" s="19" t="n"/>
      <c r="C1482" s="19" t="n"/>
      <c r="D1482" s="19" t="n"/>
      <c r="E1482" s="19" t="n"/>
    </row>
    <row r="1483">
      <c r="A1483" s="19" t="n"/>
      <c r="B1483" s="19" t="n"/>
      <c r="C1483" s="19" t="n"/>
      <c r="D1483" s="19" t="n"/>
      <c r="E1483" s="19" t="n"/>
    </row>
    <row r="1484">
      <c r="A1484" s="19" t="n"/>
      <c r="B1484" s="19" t="n"/>
      <c r="C1484" s="19" t="n"/>
      <c r="D1484" s="19" t="n"/>
      <c r="E1484" s="19" t="n"/>
    </row>
    <row r="1485">
      <c r="A1485" s="19" t="n"/>
      <c r="B1485" s="19" t="n"/>
      <c r="C1485" s="19" t="n"/>
      <c r="D1485" s="19" t="n"/>
      <c r="E1485" s="19" t="n"/>
    </row>
    <row r="1486">
      <c r="A1486" s="19" t="n"/>
      <c r="B1486" s="19" t="n"/>
      <c r="C1486" s="19" t="n"/>
      <c r="D1486" s="19" t="n"/>
      <c r="E1486" s="19" t="n"/>
    </row>
    <row r="1487">
      <c r="A1487" s="19" t="n"/>
      <c r="B1487" s="19" t="n"/>
      <c r="C1487" s="19" t="n"/>
      <c r="D1487" s="19" t="n"/>
      <c r="E1487" s="19" t="n"/>
    </row>
    <row r="1488">
      <c r="A1488" s="19" t="n"/>
      <c r="B1488" s="19" t="n"/>
      <c r="C1488" s="19" t="n"/>
      <c r="D1488" s="19" t="n"/>
      <c r="E1488" s="19" t="n"/>
    </row>
    <row r="1489">
      <c r="A1489" s="19" t="n"/>
      <c r="B1489" s="19" t="n"/>
      <c r="C1489" s="19" t="n"/>
      <c r="D1489" s="19" t="n"/>
      <c r="E1489" s="19" t="n"/>
    </row>
    <row r="1490">
      <c r="A1490" s="19" t="n"/>
      <c r="B1490" s="19" t="n"/>
      <c r="C1490" s="19" t="n"/>
      <c r="D1490" s="19" t="n"/>
      <c r="E1490" s="19" t="n"/>
    </row>
    <row r="1491">
      <c r="A1491" s="19" t="n"/>
      <c r="B1491" s="19" t="n"/>
      <c r="C1491" s="19" t="n"/>
      <c r="D1491" s="19" t="n"/>
      <c r="E1491" s="19" t="n"/>
    </row>
    <row r="1492">
      <c r="A1492" s="19" t="n"/>
      <c r="B1492" s="19" t="n"/>
      <c r="C1492" s="19" t="n"/>
      <c r="D1492" s="19" t="n"/>
      <c r="E1492" s="19" t="n"/>
    </row>
    <row r="1493">
      <c r="A1493" s="19" t="n"/>
      <c r="B1493" s="19" t="n"/>
      <c r="C1493" s="19" t="n"/>
      <c r="D1493" s="19" t="n"/>
      <c r="E1493" s="19" t="n"/>
    </row>
    <row r="1494">
      <c r="A1494" s="19" t="n"/>
      <c r="B1494" s="19" t="n"/>
      <c r="C1494" s="19" t="n"/>
      <c r="D1494" s="19" t="n"/>
      <c r="E1494" s="19" t="n"/>
    </row>
    <row r="1495">
      <c r="A1495" s="19" t="n"/>
      <c r="B1495" s="19" t="n"/>
      <c r="C1495" s="19" t="n"/>
      <c r="D1495" s="19" t="n"/>
      <c r="E1495" s="19" t="n"/>
    </row>
    <row r="1496">
      <c r="A1496" s="19" t="n"/>
      <c r="B1496" s="19" t="n"/>
      <c r="C1496" s="19" t="n"/>
      <c r="D1496" s="19" t="n"/>
      <c r="E1496" s="19" t="n"/>
    </row>
    <row r="1497">
      <c r="A1497" s="19" t="n"/>
      <c r="B1497" s="19" t="n"/>
      <c r="C1497" s="19" t="n"/>
      <c r="D1497" s="19" t="n"/>
      <c r="E1497" s="19" t="n"/>
    </row>
    <row r="1498">
      <c r="A1498" s="19" t="n"/>
      <c r="B1498" s="19" t="n"/>
      <c r="C1498" s="19" t="n"/>
      <c r="D1498" s="19" t="n"/>
      <c r="E1498" s="19" t="n"/>
    </row>
    <row r="1499">
      <c r="A1499" s="19" t="n"/>
      <c r="B1499" s="19" t="n"/>
      <c r="C1499" s="19" t="n"/>
      <c r="D1499" s="19" t="n"/>
      <c r="E1499" s="19" t="n"/>
    </row>
    <row r="1500">
      <c r="A1500" s="19" t="n"/>
      <c r="B1500" s="19" t="n"/>
      <c r="C1500" s="19" t="n"/>
      <c r="D1500" s="19" t="n"/>
      <c r="E1500" s="19" t="n"/>
    </row>
    <row r="1501">
      <c r="A1501" s="19" t="n"/>
      <c r="B1501" s="19" t="n"/>
      <c r="C1501" s="19" t="n"/>
      <c r="D1501" s="19" t="n"/>
      <c r="E1501" s="19" t="n"/>
    </row>
    <row r="1502">
      <c r="A1502" s="19" t="n"/>
      <c r="B1502" s="19" t="n"/>
      <c r="C1502" s="19" t="n"/>
      <c r="D1502" s="19" t="n"/>
      <c r="E1502" s="19" t="n"/>
    </row>
    <row r="1503">
      <c r="A1503" s="19" t="n"/>
      <c r="B1503" s="19" t="n"/>
      <c r="C1503" s="19" t="n"/>
      <c r="D1503" s="19" t="n"/>
      <c r="E1503" s="19" t="n"/>
    </row>
    <row r="1504">
      <c r="A1504" s="19" t="n"/>
      <c r="B1504" s="19" t="n"/>
      <c r="C1504" s="19" t="n"/>
      <c r="D1504" s="19" t="n"/>
      <c r="E1504" s="19" t="n"/>
    </row>
    <row r="1505">
      <c r="A1505" s="19" t="n"/>
      <c r="B1505" s="19" t="n"/>
      <c r="C1505" s="19" t="n"/>
      <c r="D1505" s="19" t="n"/>
      <c r="E1505" s="19" t="n"/>
    </row>
    <row r="1506">
      <c r="A1506" s="19" t="n"/>
      <c r="B1506" s="19" t="n"/>
      <c r="C1506" s="19" t="n"/>
      <c r="D1506" s="19" t="n"/>
      <c r="E1506" s="19" t="n"/>
    </row>
    <row r="1507">
      <c r="A1507" s="19" t="n"/>
      <c r="B1507" s="19" t="n"/>
      <c r="C1507" s="19" t="n"/>
      <c r="D1507" s="19" t="n"/>
      <c r="E1507" s="19" t="n"/>
    </row>
    <row r="1508">
      <c r="A1508" s="19" t="n"/>
      <c r="B1508" s="19" t="n"/>
      <c r="C1508" s="19" t="n"/>
      <c r="D1508" s="19" t="n"/>
      <c r="E1508" s="19" t="n"/>
    </row>
    <row r="1509">
      <c r="A1509" s="19" t="n"/>
      <c r="B1509" s="19" t="n"/>
      <c r="C1509" s="19" t="n"/>
      <c r="D1509" s="19" t="n"/>
      <c r="E1509" s="19" t="n"/>
    </row>
    <row r="1510">
      <c r="A1510" s="19" t="n"/>
      <c r="B1510" s="19" t="n"/>
      <c r="C1510" s="19" t="n"/>
      <c r="D1510" s="19" t="n"/>
      <c r="E1510" s="19" t="n"/>
    </row>
    <row r="1511">
      <c r="A1511" s="19" t="n"/>
      <c r="B1511" s="19" t="n"/>
      <c r="C1511" s="19" t="n"/>
      <c r="D1511" s="19" t="n"/>
      <c r="E1511" s="19" t="n"/>
    </row>
    <row r="1512">
      <c r="A1512" s="19" t="n"/>
      <c r="B1512" s="19" t="n"/>
      <c r="C1512" s="19" t="n"/>
      <c r="D1512" s="19" t="n"/>
      <c r="E1512" s="19" t="n"/>
    </row>
    <row r="1513">
      <c r="A1513" s="19" t="n"/>
      <c r="B1513" s="19" t="n"/>
      <c r="C1513" s="19" t="n"/>
      <c r="D1513" s="19" t="n"/>
      <c r="E1513" s="19" t="n"/>
    </row>
    <row r="1514">
      <c r="A1514" s="19" t="n"/>
      <c r="B1514" s="19" t="n"/>
      <c r="C1514" s="19" t="n"/>
      <c r="D1514" s="19" t="n"/>
      <c r="E1514" s="19" t="n"/>
    </row>
    <row r="1515">
      <c r="A1515" s="19" t="n"/>
      <c r="B1515" s="19" t="n"/>
      <c r="C1515" s="19" t="n"/>
      <c r="D1515" s="19" t="n"/>
      <c r="E1515" s="19" t="n"/>
    </row>
    <row r="1516">
      <c r="A1516" s="19" t="n"/>
      <c r="B1516" s="19" t="n"/>
      <c r="C1516" s="19" t="n"/>
      <c r="D1516" s="19" t="n"/>
      <c r="E1516" s="19" t="n"/>
    </row>
    <row r="1517">
      <c r="A1517" s="19" t="n"/>
      <c r="B1517" s="19" t="n"/>
      <c r="C1517" s="19" t="n"/>
      <c r="D1517" s="19" t="n"/>
      <c r="E1517" s="19" t="n"/>
    </row>
    <row r="1518">
      <c r="A1518" s="19" t="n"/>
      <c r="B1518" s="19" t="n"/>
      <c r="C1518" s="19" t="n"/>
      <c r="D1518" s="19" t="n"/>
      <c r="E1518" s="19" t="n"/>
    </row>
    <row r="1519">
      <c r="A1519" s="19" t="n"/>
      <c r="B1519" s="19" t="n"/>
      <c r="C1519" s="19" t="n"/>
      <c r="D1519" s="19" t="n"/>
      <c r="E1519" s="19" t="n"/>
    </row>
    <row r="1520">
      <c r="A1520" s="19" t="n"/>
      <c r="B1520" s="19" t="n"/>
      <c r="C1520" s="19" t="n"/>
      <c r="D1520" s="19" t="n"/>
      <c r="E1520" s="19" t="n"/>
    </row>
    <row r="1521">
      <c r="A1521" s="19" t="n"/>
      <c r="B1521" s="19" t="n"/>
      <c r="C1521" s="19" t="n"/>
      <c r="D1521" s="19" t="n"/>
      <c r="E1521" s="19" t="n"/>
    </row>
    <row r="1522">
      <c r="A1522" s="19" t="n"/>
      <c r="B1522" s="19" t="n"/>
      <c r="C1522" s="19" t="n"/>
      <c r="D1522" s="19" t="n"/>
      <c r="E1522" s="19" t="n"/>
    </row>
    <row r="1523">
      <c r="A1523" s="19" t="n"/>
      <c r="B1523" s="19" t="n"/>
      <c r="C1523" s="19" t="n"/>
      <c r="D1523" s="19" t="n"/>
      <c r="E1523" s="19" t="n"/>
    </row>
    <row r="1524">
      <c r="A1524" s="19" t="n"/>
      <c r="B1524" s="19" t="n"/>
      <c r="C1524" s="19" t="n"/>
      <c r="D1524" s="19" t="n"/>
      <c r="E1524" s="19" t="n"/>
    </row>
    <row r="1525">
      <c r="A1525" s="19" t="n"/>
      <c r="B1525" s="19" t="n"/>
      <c r="C1525" s="19" t="n"/>
      <c r="D1525" s="19" t="n"/>
      <c r="E1525" s="19" t="n"/>
    </row>
    <row r="1526">
      <c r="A1526" s="19" t="n"/>
      <c r="B1526" s="19" t="n"/>
      <c r="C1526" s="19" t="n"/>
      <c r="D1526" s="19" t="n"/>
      <c r="E1526" s="19" t="n"/>
    </row>
    <row r="1527">
      <c r="A1527" s="19" t="n"/>
      <c r="B1527" s="19" t="n"/>
      <c r="C1527" s="19" t="n"/>
      <c r="D1527" s="19" t="n"/>
      <c r="E1527" s="19" t="n"/>
    </row>
    <row r="1528">
      <c r="A1528" s="19" t="n"/>
      <c r="B1528" s="19" t="n"/>
      <c r="C1528" s="19" t="n"/>
      <c r="D1528" s="19" t="n"/>
      <c r="E1528" s="19" t="n"/>
    </row>
    <row r="1529">
      <c r="A1529" s="19" t="n"/>
      <c r="B1529" s="19" t="n"/>
      <c r="C1529" s="19" t="n"/>
      <c r="D1529" s="19" t="n"/>
      <c r="E1529" s="19" t="n"/>
    </row>
    <row r="1530">
      <c r="A1530" s="19" t="n"/>
      <c r="B1530" s="19" t="n"/>
      <c r="C1530" s="19" t="n"/>
      <c r="D1530" s="19" t="n"/>
      <c r="E1530" s="19" t="n"/>
    </row>
    <row r="1531">
      <c r="A1531" s="19" t="n"/>
      <c r="B1531" s="19" t="n"/>
      <c r="C1531" s="19" t="n"/>
      <c r="D1531" s="19" t="n"/>
      <c r="E1531" s="19" t="n"/>
    </row>
    <row r="1532">
      <c r="A1532" s="19" t="n"/>
      <c r="B1532" s="19" t="n"/>
      <c r="C1532" s="19" t="n"/>
      <c r="D1532" s="19" t="n"/>
      <c r="E1532" s="19" t="n"/>
    </row>
    <row r="1533">
      <c r="A1533" s="19" t="n"/>
      <c r="B1533" s="19" t="n"/>
      <c r="C1533" s="19" t="n"/>
      <c r="D1533" s="19" t="n"/>
      <c r="E1533" s="19" t="n"/>
    </row>
    <row r="1534">
      <c r="A1534" s="19" t="n"/>
      <c r="B1534" s="19" t="n"/>
      <c r="C1534" s="19" t="n"/>
      <c r="D1534" s="19" t="n"/>
      <c r="E1534" s="19" t="n"/>
    </row>
    <row r="1535">
      <c r="A1535" s="19" t="n"/>
      <c r="B1535" s="19" t="n"/>
      <c r="C1535" s="19" t="n"/>
      <c r="D1535" s="19" t="n"/>
      <c r="E1535" s="19" t="n"/>
    </row>
    <row r="1536">
      <c r="A1536" s="19" t="n"/>
      <c r="B1536" s="19" t="n"/>
      <c r="C1536" s="19" t="n"/>
      <c r="D1536" s="19" t="n"/>
      <c r="E1536" s="19" t="n"/>
    </row>
    <row r="1537">
      <c r="A1537" s="19" t="n"/>
      <c r="B1537" s="19" t="n"/>
      <c r="C1537" s="19" t="n"/>
      <c r="D1537" s="19" t="n"/>
      <c r="E1537" s="19" t="n"/>
    </row>
    <row r="1538">
      <c r="A1538" s="19" t="n"/>
      <c r="B1538" s="19" t="n"/>
      <c r="C1538" s="19" t="n"/>
      <c r="D1538" s="19" t="n"/>
      <c r="E1538" s="19" t="n"/>
    </row>
    <row r="1539">
      <c r="A1539" s="19" t="n"/>
      <c r="B1539" s="19" t="n"/>
      <c r="C1539" s="19" t="n"/>
      <c r="D1539" s="19" t="n"/>
      <c r="E1539" s="19" t="n"/>
    </row>
    <row r="1540">
      <c r="A1540" s="19" t="n"/>
      <c r="B1540" s="19" t="n"/>
      <c r="C1540" s="19" t="n"/>
      <c r="D1540" s="19" t="n"/>
      <c r="E1540" s="19" t="n"/>
    </row>
    <row r="1541">
      <c r="A1541" s="19" t="n"/>
      <c r="B1541" s="19" t="n"/>
      <c r="C1541" s="19" t="n"/>
      <c r="D1541" s="19" t="n"/>
      <c r="E1541" s="19" t="n"/>
    </row>
    <row r="1542">
      <c r="A1542" s="19" t="n"/>
      <c r="B1542" s="19" t="n"/>
      <c r="C1542" s="19" t="n"/>
      <c r="D1542" s="19" t="n"/>
      <c r="E1542" s="19" t="n"/>
    </row>
    <row r="1543">
      <c r="A1543" s="19" t="n"/>
      <c r="B1543" s="19" t="n"/>
      <c r="C1543" s="19" t="n"/>
      <c r="D1543" s="19" t="n"/>
      <c r="E1543" s="19" t="n"/>
    </row>
    <row r="1544">
      <c r="A1544" s="19" t="n"/>
      <c r="B1544" s="19" t="n"/>
      <c r="C1544" s="19" t="n"/>
      <c r="D1544" s="19" t="n"/>
      <c r="E1544" s="19" t="n"/>
    </row>
    <row r="1545">
      <c r="A1545" s="19" t="n"/>
      <c r="B1545" s="19" t="n"/>
      <c r="C1545" s="19" t="n"/>
      <c r="D1545" s="19" t="n"/>
      <c r="E1545" s="19" t="n"/>
    </row>
    <row r="1546">
      <c r="A1546" s="19" t="n"/>
      <c r="B1546" s="19" t="n"/>
      <c r="C1546" s="19" t="n"/>
      <c r="D1546" s="19" t="n"/>
      <c r="E1546" s="19" t="n"/>
    </row>
    <row r="1547">
      <c r="A1547" s="19" t="n"/>
      <c r="B1547" s="19" t="n"/>
      <c r="C1547" s="19" t="n"/>
      <c r="D1547" s="19" t="n"/>
      <c r="E1547" s="19" t="n"/>
    </row>
    <row r="1548">
      <c r="A1548" s="19" t="n"/>
      <c r="B1548" s="19" t="n"/>
      <c r="C1548" s="19" t="n"/>
      <c r="D1548" s="19" t="n"/>
      <c r="E1548" s="19" t="n"/>
    </row>
    <row r="1549">
      <c r="A1549" s="19" t="n"/>
      <c r="B1549" s="19" t="n"/>
      <c r="C1549" s="19" t="n"/>
      <c r="D1549" s="19" t="n"/>
      <c r="E1549" s="19" t="n"/>
    </row>
    <row r="1550">
      <c r="A1550" s="19" t="n"/>
      <c r="B1550" s="19" t="n"/>
      <c r="C1550" s="19" t="n"/>
      <c r="D1550" s="19" t="n"/>
      <c r="E1550" s="19" t="n"/>
    </row>
    <row r="1551">
      <c r="A1551" s="19" t="n"/>
      <c r="B1551" s="19" t="n"/>
      <c r="C1551" s="19" t="n"/>
      <c r="D1551" s="19" t="n"/>
      <c r="E1551" s="19" t="n"/>
    </row>
    <row r="1552">
      <c r="A1552" s="19" t="n"/>
      <c r="B1552" s="19" t="n"/>
      <c r="C1552" s="19" t="n"/>
      <c r="D1552" s="19" t="n"/>
      <c r="E1552" s="19" t="n"/>
    </row>
    <row r="1553">
      <c r="A1553" s="19" t="n"/>
      <c r="B1553" s="19" t="n"/>
      <c r="C1553" s="19" t="n"/>
      <c r="D1553" s="19" t="n"/>
      <c r="E1553" s="19" t="n"/>
    </row>
    <row r="1554">
      <c r="A1554" s="19" t="n"/>
      <c r="B1554" s="19" t="n"/>
      <c r="C1554" s="19" t="n"/>
      <c r="D1554" s="19" t="n"/>
      <c r="E1554" s="19" t="n"/>
    </row>
    <row r="1555">
      <c r="A1555" s="19" t="n"/>
      <c r="B1555" s="19" t="n"/>
      <c r="C1555" s="19" t="n"/>
      <c r="D1555" s="19" t="n"/>
      <c r="E1555" s="19" t="n"/>
    </row>
    <row r="1556">
      <c r="A1556" s="19" t="n"/>
      <c r="B1556" s="19" t="n"/>
      <c r="C1556" s="19" t="n"/>
      <c r="D1556" s="19" t="n"/>
      <c r="E1556" s="19" t="n"/>
    </row>
    <row r="1557">
      <c r="A1557" s="19" t="n"/>
      <c r="B1557" s="19" t="n"/>
      <c r="C1557" s="19" t="n"/>
      <c r="D1557" s="19" t="n"/>
      <c r="E1557" s="19" t="n"/>
    </row>
    <row r="1558">
      <c r="A1558" s="19" t="n"/>
      <c r="B1558" s="19" t="n"/>
      <c r="C1558" s="19" t="n"/>
      <c r="D1558" s="19" t="n"/>
      <c r="E1558" s="19" t="n"/>
    </row>
    <row r="1559">
      <c r="A1559" s="19" t="n"/>
      <c r="B1559" s="19" t="n"/>
      <c r="C1559" s="19" t="n"/>
      <c r="D1559" s="19" t="n"/>
      <c r="E1559" s="19" t="n"/>
    </row>
    <row r="1560">
      <c r="A1560" s="19" t="n"/>
      <c r="B1560" s="19" t="n"/>
      <c r="C1560" s="19" t="n"/>
      <c r="D1560" s="19" t="n"/>
      <c r="E1560" s="19" t="n"/>
    </row>
    <row r="1561">
      <c r="A1561" s="19" t="n"/>
      <c r="B1561" s="19" t="n"/>
      <c r="C1561" s="19" t="n"/>
      <c r="D1561" s="19" t="n"/>
      <c r="E1561" s="19" t="n"/>
    </row>
    <row r="1562">
      <c r="A1562" s="19" t="n"/>
      <c r="B1562" s="19" t="n"/>
      <c r="C1562" s="19" t="n"/>
      <c r="D1562" s="19" t="n"/>
      <c r="E1562" s="19" t="n"/>
    </row>
    <row r="1563">
      <c r="A1563" s="19" t="n"/>
      <c r="B1563" s="19" t="n"/>
      <c r="C1563" s="19" t="n"/>
      <c r="D1563" s="19" t="n"/>
      <c r="E1563" s="19" t="n"/>
    </row>
    <row r="1564">
      <c r="A1564" s="19" t="n"/>
      <c r="B1564" s="19" t="n"/>
      <c r="C1564" s="19" t="n"/>
      <c r="D1564" s="19" t="n"/>
      <c r="E1564" s="19" t="n"/>
    </row>
    <row r="1565">
      <c r="A1565" s="19" t="n"/>
      <c r="B1565" s="19" t="n"/>
      <c r="C1565" s="19" t="n"/>
      <c r="D1565" s="19" t="n"/>
      <c r="E1565" s="19" t="n"/>
    </row>
    <row r="1566">
      <c r="A1566" s="19" t="n"/>
      <c r="B1566" s="19" t="n"/>
      <c r="C1566" s="19" t="n"/>
      <c r="D1566" s="19" t="n"/>
      <c r="E1566" s="19" t="n"/>
    </row>
    <row r="1567">
      <c r="A1567" s="19" t="n"/>
      <c r="B1567" s="19" t="n"/>
      <c r="C1567" s="19" t="n"/>
      <c r="D1567" s="19" t="n"/>
      <c r="E1567" s="19" t="n"/>
    </row>
    <row r="1568">
      <c r="A1568" s="19" t="n"/>
      <c r="B1568" s="19" t="n"/>
      <c r="C1568" s="19" t="n"/>
      <c r="D1568" s="19" t="n"/>
      <c r="E1568" s="19" t="n"/>
    </row>
    <row r="1569">
      <c r="A1569" s="19" t="n"/>
      <c r="B1569" s="19" t="n"/>
      <c r="C1569" s="19" t="n"/>
      <c r="D1569" s="19" t="n"/>
      <c r="E1569" s="19" t="n"/>
    </row>
    <row r="1570">
      <c r="A1570" s="19" t="n"/>
      <c r="B1570" s="19" t="n"/>
      <c r="C1570" s="19" t="n"/>
      <c r="D1570" s="19" t="n"/>
      <c r="E1570" s="19" t="n"/>
    </row>
    <row r="1571">
      <c r="A1571" s="19" t="n"/>
      <c r="B1571" s="19" t="n"/>
      <c r="C1571" s="19" t="n"/>
      <c r="D1571" s="19" t="n"/>
      <c r="E1571" s="19" t="n"/>
    </row>
    <row r="1572">
      <c r="A1572" s="19" t="n"/>
      <c r="B1572" s="19" t="n"/>
      <c r="C1572" s="19" t="n"/>
      <c r="D1572" s="19" t="n"/>
      <c r="E1572" s="19" t="n"/>
    </row>
    <row r="1573">
      <c r="A1573" s="19" t="n"/>
      <c r="B1573" s="19" t="n"/>
      <c r="C1573" s="19" t="n"/>
      <c r="D1573" s="19" t="n"/>
      <c r="E1573" s="19" t="n"/>
    </row>
    <row r="1574">
      <c r="A1574" s="19" t="n"/>
      <c r="B1574" s="19" t="n"/>
      <c r="C1574" s="19" t="n"/>
      <c r="D1574" s="19" t="n"/>
      <c r="E1574" s="19" t="n"/>
    </row>
    <row r="1575">
      <c r="A1575" s="19" t="n"/>
      <c r="B1575" s="19" t="n"/>
      <c r="C1575" s="19" t="n"/>
      <c r="D1575" s="19" t="n"/>
      <c r="E1575" s="19" t="n"/>
    </row>
    <row r="1576">
      <c r="A1576" s="19" t="n"/>
      <c r="B1576" s="19" t="n"/>
      <c r="C1576" s="19" t="n"/>
      <c r="D1576" s="19" t="n"/>
      <c r="E1576" s="19" t="n"/>
    </row>
    <row r="1577">
      <c r="A1577" s="19" t="n"/>
      <c r="B1577" s="19" t="n"/>
      <c r="C1577" s="19" t="n"/>
      <c r="D1577" s="19" t="n"/>
      <c r="E1577" s="19" t="n"/>
    </row>
    <row r="1578">
      <c r="A1578" s="19" t="n"/>
      <c r="B1578" s="19" t="n"/>
      <c r="C1578" s="19" t="n"/>
      <c r="D1578" s="19" t="n"/>
      <c r="E1578" s="19" t="n"/>
    </row>
    <row r="1579">
      <c r="A1579" s="19" t="n"/>
      <c r="B1579" s="19" t="n"/>
      <c r="C1579" s="19" t="n"/>
      <c r="D1579" s="19" t="n"/>
      <c r="E1579" s="19" t="n"/>
    </row>
    <row r="1580">
      <c r="A1580" s="19" t="n"/>
      <c r="B1580" s="19" t="n"/>
      <c r="C1580" s="19" t="n"/>
      <c r="D1580" s="19" t="n"/>
      <c r="E1580" s="19" t="n"/>
    </row>
    <row r="1581">
      <c r="A1581" s="19" t="n"/>
      <c r="B1581" s="19" t="n"/>
      <c r="C1581" s="19" t="n"/>
      <c r="D1581" s="19" t="n"/>
      <c r="E1581" s="19" t="n"/>
    </row>
    <row r="1582">
      <c r="A1582" s="19" t="n"/>
      <c r="B1582" s="19" t="n"/>
      <c r="C1582" s="19" t="n"/>
      <c r="D1582" s="19" t="n"/>
      <c r="E1582" s="19" t="n"/>
    </row>
    <row r="1583">
      <c r="A1583" s="19" t="n"/>
      <c r="B1583" s="19" t="n"/>
      <c r="C1583" s="19" t="n"/>
      <c r="D1583" s="19" t="n"/>
      <c r="E1583" s="19" t="n"/>
    </row>
    <row r="1584">
      <c r="A1584" s="19" t="n"/>
      <c r="B1584" s="19" t="n"/>
      <c r="C1584" s="19" t="n"/>
      <c r="D1584" s="19" t="n"/>
      <c r="E1584" s="19" t="n"/>
    </row>
    <row r="1585">
      <c r="A1585" s="19" t="n"/>
      <c r="B1585" s="19" t="n"/>
      <c r="C1585" s="19" t="n"/>
      <c r="D1585" s="19" t="n"/>
      <c r="E1585" s="19" t="n"/>
    </row>
    <row r="1586">
      <c r="A1586" s="19" t="n"/>
      <c r="B1586" s="19" t="n"/>
      <c r="C1586" s="19" t="n"/>
      <c r="D1586" s="19" t="n"/>
      <c r="E1586" s="19" t="n"/>
    </row>
    <row r="1587">
      <c r="A1587" s="19" t="n"/>
      <c r="B1587" s="19" t="n"/>
      <c r="C1587" s="19" t="n"/>
      <c r="D1587" s="19" t="n"/>
      <c r="E1587" s="19" t="n"/>
    </row>
    <row r="1588">
      <c r="A1588" s="19" t="n"/>
      <c r="B1588" s="19" t="n"/>
      <c r="C1588" s="19" t="n"/>
      <c r="D1588" s="19" t="n"/>
      <c r="E1588" s="19" t="n"/>
    </row>
    <row r="1589">
      <c r="A1589" s="19" t="n"/>
      <c r="B1589" s="19" t="n"/>
      <c r="C1589" s="19" t="n"/>
      <c r="D1589" s="19" t="n"/>
      <c r="E1589" s="19" t="n"/>
    </row>
    <row r="1590">
      <c r="A1590" s="19" t="n"/>
      <c r="B1590" s="19" t="n"/>
      <c r="C1590" s="19" t="n"/>
      <c r="D1590" s="19" t="n"/>
      <c r="E1590" s="19" t="n"/>
    </row>
    <row r="1591">
      <c r="A1591" s="19" t="n"/>
      <c r="B1591" s="19" t="n"/>
      <c r="C1591" s="19" t="n"/>
      <c r="D1591" s="19" t="n"/>
      <c r="E1591" s="19" t="n"/>
    </row>
    <row r="1592">
      <c r="A1592" s="19" t="n"/>
      <c r="B1592" s="19" t="n"/>
      <c r="C1592" s="19" t="n"/>
      <c r="D1592" s="19" t="n"/>
      <c r="E1592" s="19" t="n"/>
    </row>
    <row r="1593">
      <c r="A1593" s="19" t="n"/>
      <c r="B1593" s="19" t="n"/>
      <c r="C1593" s="19" t="n"/>
      <c r="D1593" s="19" t="n"/>
      <c r="E1593" s="19" t="n"/>
    </row>
    <row r="1594">
      <c r="A1594" s="19" t="n"/>
      <c r="B1594" s="19" t="n"/>
      <c r="C1594" s="19" t="n"/>
      <c r="D1594" s="19" t="n"/>
      <c r="E1594" s="19" t="n"/>
    </row>
    <row r="1595">
      <c r="A1595" s="19" t="n"/>
      <c r="B1595" s="19" t="n"/>
      <c r="C1595" s="19" t="n"/>
      <c r="D1595" s="19" t="n"/>
      <c r="E1595" s="19" t="n"/>
    </row>
    <row r="1596">
      <c r="A1596" s="19" t="n"/>
      <c r="B1596" s="19" t="n"/>
      <c r="C1596" s="19" t="n"/>
      <c r="D1596" s="19" t="n"/>
      <c r="E1596" s="19" t="n"/>
    </row>
    <row r="1597">
      <c r="A1597" s="19" t="n"/>
      <c r="B1597" s="19" t="n"/>
      <c r="C1597" s="19" t="n"/>
      <c r="D1597" s="19" t="n"/>
      <c r="E1597" s="19" t="n"/>
    </row>
    <row r="1598">
      <c r="A1598" s="19" t="n"/>
      <c r="B1598" s="19" t="n"/>
      <c r="C1598" s="19" t="n"/>
      <c r="D1598" s="19" t="n"/>
      <c r="E1598" s="19" t="n"/>
    </row>
    <row r="1599">
      <c r="A1599" s="19" t="n"/>
      <c r="B1599" s="19" t="n"/>
      <c r="C1599" s="19" t="n"/>
      <c r="D1599" s="19" t="n"/>
      <c r="E1599" s="19" t="n"/>
    </row>
    <row r="1600">
      <c r="A1600" s="19" t="n"/>
      <c r="B1600" s="19" t="n"/>
      <c r="C1600" s="19" t="n"/>
      <c r="D1600" s="19" t="n"/>
      <c r="E1600" s="19" t="n"/>
    </row>
    <row r="1601">
      <c r="A1601" s="19" t="n"/>
      <c r="B1601" s="19" t="n"/>
      <c r="C1601" s="19" t="n"/>
      <c r="D1601" s="19" t="n"/>
      <c r="E1601" s="19" t="n"/>
    </row>
    <row r="1602">
      <c r="A1602" s="19" t="n"/>
      <c r="B1602" s="19" t="n"/>
      <c r="C1602" s="19" t="n"/>
      <c r="D1602" s="19" t="n"/>
      <c r="E1602" s="19" t="n"/>
    </row>
    <row r="1603">
      <c r="A1603" s="19" t="n"/>
      <c r="B1603" s="19" t="n"/>
      <c r="C1603" s="19" t="n"/>
      <c r="D1603" s="19" t="n"/>
      <c r="E1603" s="19" t="n"/>
    </row>
    <row r="1604">
      <c r="A1604" s="19" t="n"/>
      <c r="B1604" s="19" t="n"/>
      <c r="C1604" s="19" t="n"/>
      <c r="D1604" s="19" t="n"/>
      <c r="E1604" s="19" t="n"/>
    </row>
    <row r="1605">
      <c r="A1605" s="19" t="n"/>
      <c r="B1605" s="19" t="n"/>
      <c r="C1605" s="19" t="n"/>
      <c r="D1605" s="19" t="n"/>
      <c r="E1605" s="19" t="n"/>
    </row>
    <row r="1606">
      <c r="A1606" s="19" t="n"/>
      <c r="B1606" s="19" t="n"/>
      <c r="C1606" s="19" t="n"/>
      <c r="D1606" s="19" t="n"/>
      <c r="E1606" s="19" t="n"/>
    </row>
    <row r="1607">
      <c r="A1607" s="19" t="n"/>
      <c r="B1607" s="19" t="n"/>
      <c r="C1607" s="19" t="n"/>
      <c r="D1607" s="19" t="n"/>
      <c r="E1607" s="19" t="n"/>
    </row>
    <row r="1608">
      <c r="A1608" s="19" t="n"/>
      <c r="B1608" s="19" t="n"/>
      <c r="C1608" s="19" t="n"/>
      <c r="D1608" s="19" t="n"/>
      <c r="E1608" s="19" t="n"/>
    </row>
    <row r="1609">
      <c r="A1609" s="19" t="n"/>
      <c r="B1609" s="19" t="n"/>
      <c r="C1609" s="19" t="n"/>
      <c r="D1609" s="19" t="n"/>
      <c r="E1609" s="19" t="n"/>
    </row>
    <row r="1610">
      <c r="A1610" s="19" t="n"/>
      <c r="B1610" s="19" t="n"/>
      <c r="C1610" s="19" t="n"/>
      <c r="D1610" s="19" t="n"/>
      <c r="E1610" s="19" t="n"/>
    </row>
    <row r="1611">
      <c r="A1611" s="19" t="n"/>
      <c r="B1611" s="19" t="n"/>
      <c r="C1611" s="19" t="n"/>
      <c r="D1611" s="19" t="n"/>
      <c r="E1611" s="19" t="n"/>
    </row>
    <row r="1612">
      <c r="A1612" s="19" t="n"/>
      <c r="B1612" s="19" t="n"/>
      <c r="C1612" s="19" t="n"/>
      <c r="D1612" s="19" t="n"/>
      <c r="E1612" s="19" t="n"/>
    </row>
    <row r="1613">
      <c r="A1613" s="19" t="n"/>
      <c r="B1613" s="19" t="n"/>
      <c r="C1613" s="19" t="n"/>
      <c r="D1613" s="19" t="n"/>
      <c r="E1613" s="19" t="n"/>
    </row>
    <row r="1614">
      <c r="A1614" s="19" t="n"/>
      <c r="B1614" s="19" t="n"/>
      <c r="C1614" s="19" t="n"/>
      <c r="D1614" s="19" t="n"/>
      <c r="E1614" s="19" t="n"/>
    </row>
    <row r="1615">
      <c r="A1615" s="19" t="n"/>
      <c r="B1615" s="19" t="n"/>
      <c r="C1615" s="19" t="n"/>
      <c r="D1615" s="19" t="n"/>
      <c r="E1615" s="19" t="n"/>
    </row>
    <row r="1616">
      <c r="A1616" s="19" t="n"/>
      <c r="B1616" s="19" t="n"/>
      <c r="C1616" s="19" t="n"/>
      <c r="D1616" s="19" t="n"/>
      <c r="E1616" s="19" t="n"/>
    </row>
    <row r="1617">
      <c r="A1617" s="19" t="n"/>
      <c r="B1617" s="19" t="n"/>
      <c r="C1617" s="19" t="n"/>
      <c r="D1617" s="19" t="n"/>
      <c r="E1617" s="19" t="n"/>
    </row>
    <row r="1618">
      <c r="A1618" s="19" t="n"/>
      <c r="B1618" s="19" t="n"/>
      <c r="C1618" s="19" t="n"/>
      <c r="D1618" s="19" t="n"/>
      <c r="E1618" s="19" t="n"/>
    </row>
    <row r="1619">
      <c r="A1619" s="19" t="n"/>
      <c r="B1619" s="19" t="n"/>
      <c r="C1619" s="19" t="n"/>
      <c r="D1619" s="19" t="n"/>
      <c r="E1619" s="19" t="n"/>
    </row>
    <row r="1620">
      <c r="A1620" s="19" t="n"/>
      <c r="B1620" s="19" t="n"/>
      <c r="C1620" s="19" t="n"/>
      <c r="D1620" s="19" t="n"/>
      <c r="E1620" s="19" t="n"/>
    </row>
    <row r="1621">
      <c r="A1621" s="19" t="n"/>
      <c r="B1621" s="19" t="n"/>
      <c r="C1621" s="19" t="n"/>
      <c r="D1621" s="19" t="n"/>
      <c r="E1621" s="19" t="n"/>
    </row>
    <row r="1622">
      <c r="A1622" s="19" t="n"/>
      <c r="B1622" s="19" t="n"/>
      <c r="C1622" s="19" t="n"/>
      <c r="D1622" s="19" t="n"/>
      <c r="E1622" s="19" t="n"/>
    </row>
    <row r="1623">
      <c r="A1623" s="19" t="n"/>
      <c r="B1623" s="19" t="n"/>
      <c r="C1623" s="19" t="n"/>
      <c r="D1623" s="19" t="n"/>
      <c r="E1623" s="19" t="n"/>
    </row>
    <row r="1624">
      <c r="A1624" s="19" t="n"/>
      <c r="B1624" s="19" t="n"/>
      <c r="C1624" s="19" t="n"/>
      <c r="D1624" s="19" t="n"/>
      <c r="E1624" s="19" t="n"/>
    </row>
    <row r="1625">
      <c r="A1625" s="19" t="n"/>
      <c r="B1625" s="19" t="n"/>
      <c r="C1625" s="19" t="n"/>
      <c r="D1625" s="19" t="n"/>
      <c r="E1625" s="19" t="n"/>
    </row>
    <row r="1626">
      <c r="A1626" s="19" t="n"/>
      <c r="B1626" s="19" t="n"/>
      <c r="C1626" s="19" t="n"/>
      <c r="D1626" s="19" t="n"/>
      <c r="E1626" s="19" t="n"/>
    </row>
    <row r="1627">
      <c r="A1627" s="19" t="n"/>
      <c r="B1627" s="19" t="n"/>
      <c r="C1627" s="19" t="n"/>
      <c r="D1627" s="19" t="n"/>
      <c r="E1627" s="19" t="n"/>
    </row>
    <row r="1628">
      <c r="A1628" s="19" t="n"/>
      <c r="B1628" s="19" t="n"/>
      <c r="C1628" s="19" t="n"/>
      <c r="D1628" s="19" t="n"/>
      <c r="E1628" s="19" t="n"/>
    </row>
    <row r="1629">
      <c r="A1629" s="19" t="n"/>
      <c r="B1629" s="19" t="n"/>
      <c r="C1629" s="19" t="n"/>
      <c r="D1629" s="19" t="n"/>
      <c r="E1629" s="19" t="n"/>
    </row>
    <row r="1630">
      <c r="A1630" s="19" t="n"/>
      <c r="B1630" s="19" t="n"/>
      <c r="C1630" s="19" t="n"/>
      <c r="D1630" s="19" t="n"/>
      <c r="E1630" s="19" t="n"/>
    </row>
    <row r="1631">
      <c r="A1631" s="19" t="n"/>
      <c r="B1631" s="19" t="n"/>
      <c r="C1631" s="19" t="n"/>
      <c r="D1631" s="19" t="n"/>
      <c r="E1631" s="19" t="n"/>
    </row>
    <row r="1632">
      <c r="A1632" s="19" t="n"/>
      <c r="B1632" s="19" t="n"/>
      <c r="C1632" s="19" t="n"/>
      <c r="D1632" s="19" t="n"/>
      <c r="E1632" s="19" t="n"/>
    </row>
    <row r="1633">
      <c r="A1633" s="19" t="n"/>
      <c r="B1633" s="19" t="n"/>
      <c r="C1633" s="19" t="n"/>
      <c r="D1633" s="19" t="n"/>
      <c r="E1633" s="19" t="n"/>
    </row>
    <row r="1634">
      <c r="A1634" s="19" t="n"/>
      <c r="B1634" s="19" t="n"/>
      <c r="C1634" s="19" t="n"/>
      <c r="D1634" s="19" t="n"/>
      <c r="E1634" s="19" t="n"/>
    </row>
    <row r="1635">
      <c r="A1635" s="19" t="n"/>
      <c r="B1635" s="19" t="n"/>
      <c r="C1635" s="19" t="n"/>
      <c r="D1635" s="19" t="n"/>
      <c r="E1635" s="19" t="n"/>
    </row>
    <row r="1636">
      <c r="A1636" s="19" t="n"/>
      <c r="B1636" s="19" t="n"/>
      <c r="C1636" s="19" t="n"/>
      <c r="D1636" s="19" t="n"/>
      <c r="E1636" s="19" t="n"/>
    </row>
    <row r="1637">
      <c r="A1637" s="19" t="n"/>
      <c r="B1637" s="19" t="n"/>
      <c r="C1637" s="19" t="n"/>
      <c r="D1637" s="19" t="n"/>
      <c r="E1637" s="19" t="n"/>
    </row>
    <row r="1638">
      <c r="A1638" s="19" t="n"/>
      <c r="B1638" s="19" t="n"/>
      <c r="C1638" s="19" t="n"/>
      <c r="D1638" s="19" t="n"/>
      <c r="E1638" s="19" t="n"/>
    </row>
    <row r="1639">
      <c r="A1639" s="19" t="n"/>
      <c r="B1639" s="19" t="n"/>
      <c r="C1639" s="19" t="n"/>
      <c r="D1639" s="19" t="n"/>
      <c r="E1639" s="19" t="n"/>
    </row>
    <row r="1640">
      <c r="A1640" s="19" t="n"/>
      <c r="B1640" s="19" t="n"/>
      <c r="C1640" s="19" t="n"/>
      <c r="D1640" s="19" t="n"/>
      <c r="E1640" s="19" t="n"/>
    </row>
    <row r="1641">
      <c r="A1641" s="19" t="n"/>
      <c r="B1641" s="19" t="n"/>
      <c r="C1641" s="19" t="n"/>
      <c r="D1641" s="19" t="n"/>
      <c r="E1641" s="19" t="n"/>
    </row>
    <row r="1642">
      <c r="A1642" s="19" t="n"/>
      <c r="B1642" s="19" t="n"/>
      <c r="C1642" s="19" t="n"/>
      <c r="D1642" s="19" t="n"/>
      <c r="E1642" s="19" t="n"/>
    </row>
    <row r="1643">
      <c r="A1643" s="19" t="n"/>
      <c r="B1643" s="19" t="n"/>
      <c r="C1643" s="19" t="n"/>
      <c r="D1643" s="19" t="n"/>
      <c r="E1643" s="19" t="n"/>
    </row>
    <row r="1644">
      <c r="A1644" s="19" t="n"/>
      <c r="B1644" s="19" t="n"/>
      <c r="C1644" s="19" t="n"/>
      <c r="D1644" s="19" t="n"/>
      <c r="E1644" s="19" t="n"/>
    </row>
    <row r="1645">
      <c r="A1645" s="19" t="n"/>
      <c r="B1645" s="19" t="n"/>
      <c r="C1645" s="19" t="n"/>
      <c r="D1645" s="19" t="n"/>
      <c r="E1645" s="19" t="n"/>
    </row>
    <row r="1646">
      <c r="A1646" s="19" t="n"/>
      <c r="B1646" s="19" t="n"/>
      <c r="C1646" s="19" t="n"/>
      <c r="D1646" s="19" t="n"/>
      <c r="E1646" s="19" t="n"/>
    </row>
    <row r="1647">
      <c r="A1647" s="19" t="n"/>
      <c r="B1647" s="19" t="n"/>
      <c r="C1647" s="19" t="n"/>
      <c r="D1647" s="19" t="n"/>
      <c r="E1647" s="19" t="n"/>
    </row>
    <row r="1648">
      <c r="A1648" s="19" t="n"/>
      <c r="B1648" s="19" t="n"/>
      <c r="C1648" s="19" t="n"/>
      <c r="D1648" s="19" t="n"/>
      <c r="E1648" s="19" t="n"/>
    </row>
    <row r="1649">
      <c r="A1649" s="19" t="n"/>
      <c r="B1649" s="19" t="n"/>
      <c r="C1649" s="19" t="n"/>
      <c r="D1649" s="19" t="n"/>
      <c r="E1649" s="19" t="n"/>
    </row>
    <row r="1650">
      <c r="A1650" s="19" t="n"/>
      <c r="B1650" s="19" t="n"/>
      <c r="C1650" s="19" t="n"/>
      <c r="D1650" s="19" t="n"/>
      <c r="E1650" s="19" t="n"/>
    </row>
    <row r="1651">
      <c r="A1651" s="19" t="n"/>
      <c r="B1651" s="19" t="n"/>
      <c r="C1651" s="19" t="n"/>
      <c r="D1651" s="19" t="n"/>
      <c r="E1651" s="19" t="n"/>
    </row>
    <row r="1652">
      <c r="A1652" s="19" t="n"/>
      <c r="B1652" s="19" t="n"/>
      <c r="C1652" s="19" t="n"/>
      <c r="D1652" s="19" t="n"/>
      <c r="E1652" s="19" t="n"/>
    </row>
    <row r="1653">
      <c r="A1653" s="19" t="n"/>
      <c r="B1653" s="19" t="n"/>
      <c r="C1653" s="19" t="n"/>
      <c r="D1653" s="19" t="n"/>
      <c r="E1653" s="19" t="n"/>
    </row>
    <row r="1654">
      <c r="A1654" s="19" t="n"/>
      <c r="B1654" s="19" t="n"/>
      <c r="C1654" s="19" t="n"/>
      <c r="D1654" s="19" t="n"/>
      <c r="E1654" s="19" t="n"/>
    </row>
    <row r="1655">
      <c r="A1655" s="19" t="n"/>
      <c r="B1655" s="19" t="n"/>
      <c r="C1655" s="19" t="n"/>
      <c r="D1655" s="19" t="n"/>
      <c r="E1655" s="19" t="n"/>
    </row>
    <row r="1656">
      <c r="A1656" s="19" t="n"/>
      <c r="B1656" s="19" t="n"/>
      <c r="C1656" s="19" t="n"/>
      <c r="D1656" s="19" t="n"/>
      <c r="E1656" s="19" t="n"/>
    </row>
    <row r="1657">
      <c r="A1657" s="19" t="n"/>
      <c r="B1657" s="19" t="n"/>
      <c r="C1657" s="19" t="n"/>
      <c r="D1657" s="19" t="n"/>
      <c r="E1657" s="19" t="n"/>
    </row>
    <row r="1658">
      <c r="A1658" s="19" t="n"/>
      <c r="B1658" s="19" t="n"/>
      <c r="C1658" s="19" t="n"/>
      <c r="D1658" s="19" t="n"/>
      <c r="E1658" s="19" t="n"/>
    </row>
    <row r="1659">
      <c r="A1659" s="19" t="n"/>
      <c r="B1659" s="19" t="n"/>
      <c r="C1659" s="19" t="n"/>
      <c r="D1659" s="19" t="n"/>
      <c r="E1659" s="19" t="n"/>
    </row>
    <row r="1660">
      <c r="A1660" s="19" t="n"/>
      <c r="B1660" s="19" t="n"/>
      <c r="C1660" s="19" t="n"/>
      <c r="D1660" s="19" t="n"/>
      <c r="E1660" s="19" t="n"/>
    </row>
    <row r="1661">
      <c r="A1661" s="19" t="n"/>
      <c r="B1661" s="19" t="n"/>
      <c r="C1661" s="19" t="n"/>
      <c r="D1661" s="19" t="n"/>
      <c r="E1661" s="19" t="n"/>
    </row>
    <row r="1662">
      <c r="A1662" s="19" t="n"/>
      <c r="B1662" s="19" t="n"/>
      <c r="C1662" s="19" t="n"/>
      <c r="D1662" s="19" t="n"/>
      <c r="E1662" s="19" t="n"/>
    </row>
    <row r="1663">
      <c r="A1663" s="19" t="n"/>
      <c r="B1663" s="19" t="n"/>
      <c r="C1663" s="19" t="n"/>
      <c r="D1663" s="19" t="n"/>
      <c r="E1663" s="19" t="n"/>
    </row>
    <row r="1664">
      <c r="A1664" s="19" t="n"/>
      <c r="B1664" s="19" t="n"/>
      <c r="C1664" s="19" t="n"/>
      <c r="D1664" s="19" t="n"/>
      <c r="E1664" s="19" t="n"/>
    </row>
    <row r="1665">
      <c r="A1665" s="19" t="n"/>
      <c r="B1665" s="19" t="n"/>
      <c r="C1665" s="19" t="n"/>
      <c r="D1665" s="19" t="n"/>
      <c r="E1665" s="19" t="n"/>
    </row>
    <row r="1666">
      <c r="A1666" s="19" t="n"/>
      <c r="B1666" s="19" t="n"/>
      <c r="C1666" s="19" t="n"/>
      <c r="D1666" s="19" t="n"/>
      <c r="E1666" s="19" t="n"/>
    </row>
    <row r="1667">
      <c r="A1667" s="19" t="n"/>
      <c r="B1667" s="19" t="n"/>
      <c r="C1667" s="19" t="n"/>
      <c r="D1667" s="19" t="n"/>
      <c r="E1667" s="19" t="n"/>
    </row>
    <row r="1668">
      <c r="A1668" s="19" t="n"/>
      <c r="B1668" s="19" t="n"/>
      <c r="C1668" s="19" t="n"/>
      <c r="D1668" s="19" t="n"/>
      <c r="E1668" s="19" t="n"/>
    </row>
    <row r="1669">
      <c r="A1669" s="19" t="n"/>
      <c r="B1669" s="19" t="n"/>
      <c r="C1669" s="19" t="n"/>
      <c r="D1669" s="19" t="n"/>
      <c r="E1669" s="19" t="n"/>
    </row>
    <row r="1670">
      <c r="A1670" s="19" t="n"/>
      <c r="B1670" s="19" t="n"/>
      <c r="C1670" s="19" t="n"/>
      <c r="D1670" s="19" t="n"/>
      <c r="E1670" s="19" t="n"/>
    </row>
    <row r="1671">
      <c r="A1671" s="19" t="n"/>
      <c r="B1671" s="19" t="n"/>
      <c r="C1671" s="19" t="n"/>
      <c r="D1671" s="19" t="n"/>
      <c r="E1671" s="19" t="n"/>
    </row>
    <row r="1672">
      <c r="A1672" s="19" t="n"/>
      <c r="B1672" s="19" t="n"/>
      <c r="C1672" s="19" t="n"/>
      <c r="D1672" s="19" t="n"/>
      <c r="E1672" s="19" t="n"/>
    </row>
    <row r="1673">
      <c r="A1673" s="19" t="n"/>
      <c r="B1673" s="19" t="n"/>
      <c r="C1673" s="19" t="n"/>
      <c r="D1673" s="19" t="n"/>
      <c r="E1673" s="19" t="n"/>
    </row>
    <row r="1674">
      <c r="A1674" s="19" t="n"/>
      <c r="B1674" s="19" t="n"/>
      <c r="C1674" s="19" t="n"/>
      <c r="D1674" s="19" t="n"/>
      <c r="E1674" s="19" t="n"/>
    </row>
    <row r="1675">
      <c r="A1675" s="19" t="n"/>
      <c r="B1675" s="19" t="n"/>
      <c r="C1675" s="19" t="n"/>
      <c r="D1675" s="19" t="n"/>
      <c r="E1675" s="19" t="n"/>
    </row>
    <row r="1676">
      <c r="A1676" s="19" t="n"/>
      <c r="B1676" s="19" t="n"/>
      <c r="C1676" s="19" t="n"/>
      <c r="D1676" s="19" t="n"/>
      <c r="E1676" s="19" t="n"/>
    </row>
    <row r="1677">
      <c r="A1677" s="19" t="n"/>
      <c r="B1677" s="19" t="n"/>
      <c r="C1677" s="19" t="n"/>
      <c r="D1677" s="19" t="n"/>
      <c r="E1677" s="19" t="n"/>
    </row>
    <row r="1678">
      <c r="A1678" s="19" t="n"/>
      <c r="B1678" s="19" t="n"/>
      <c r="C1678" s="19" t="n"/>
      <c r="D1678" s="19" t="n"/>
      <c r="E1678" s="19" t="n"/>
    </row>
    <row r="1679">
      <c r="A1679" s="19" t="n"/>
      <c r="B1679" s="19" t="n"/>
      <c r="C1679" s="19" t="n"/>
      <c r="D1679" s="19" t="n"/>
      <c r="E1679" s="19" t="n"/>
    </row>
    <row r="1680">
      <c r="A1680" s="19" t="n"/>
      <c r="B1680" s="19" t="n"/>
      <c r="C1680" s="19" t="n"/>
      <c r="D1680" s="19" t="n"/>
      <c r="E1680" s="19" t="n"/>
    </row>
    <row r="1681">
      <c r="A1681" s="19" t="n"/>
      <c r="B1681" s="19" t="n"/>
      <c r="C1681" s="19" t="n"/>
      <c r="D1681" s="19" t="n"/>
      <c r="E1681" s="19" t="n"/>
    </row>
    <row r="1682">
      <c r="A1682" s="19" t="n"/>
      <c r="B1682" s="19" t="n"/>
      <c r="C1682" s="19" t="n"/>
      <c r="D1682" s="19" t="n"/>
      <c r="E1682" s="19" t="n"/>
    </row>
    <row r="1683">
      <c r="A1683" s="19" t="n"/>
      <c r="B1683" s="19" t="n"/>
      <c r="C1683" s="19" t="n"/>
      <c r="D1683" s="19" t="n"/>
      <c r="E1683" s="19" t="n"/>
    </row>
    <row r="1684">
      <c r="A1684" s="19" t="n"/>
      <c r="B1684" s="19" t="n"/>
      <c r="C1684" s="19" t="n"/>
      <c r="D1684" s="19" t="n"/>
      <c r="E1684" s="19" t="n"/>
    </row>
    <row r="1685">
      <c r="A1685" s="19" t="n"/>
      <c r="B1685" s="19" t="n"/>
      <c r="C1685" s="19" t="n"/>
      <c r="D1685" s="19" t="n"/>
      <c r="E1685" s="19" t="n"/>
    </row>
    <row r="1686">
      <c r="A1686" s="19" t="n"/>
      <c r="B1686" s="19" t="n"/>
      <c r="C1686" s="19" t="n"/>
      <c r="D1686" s="19" t="n"/>
      <c r="E1686" s="19" t="n"/>
    </row>
    <row r="1687">
      <c r="A1687" s="19" t="n"/>
      <c r="B1687" s="19" t="n"/>
      <c r="C1687" s="19" t="n"/>
      <c r="D1687" s="19" t="n"/>
      <c r="E1687" s="19" t="n"/>
    </row>
    <row r="1688">
      <c r="A1688" s="19" t="n"/>
      <c r="B1688" s="19" t="n"/>
      <c r="C1688" s="19" t="n"/>
      <c r="D1688" s="19" t="n"/>
      <c r="E1688" s="19" t="n"/>
    </row>
    <row r="1689">
      <c r="A1689" s="19" t="n"/>
      <c r="B1689" s="19" t="n"/>
      <c r="C1689" s="19" t="n"/>
      <c r="D1689" s="19" t="n"/>
      <c r="E1689" s="19" t="n"/>
    </row>
    <row r="1690">
      <c r="A1690" s="19" t="n"/>
      <c r="B1690" s="19" t="n"/>
      <c r="C1690" s="19" t="n"/>
      <c r="D1690" s="19" t="n"/>
      <c r="E1690" s="19" t="n"/>
    </row>
    <row r="1691">
      <c r="A1691" s="19" t="n"/>
      <c r="B1691" s="19" t="n"/>
      <c r="C1691" s="19" t="n"/>
      <c r="D1691" s="19" t="n"/>
      <c r="E1691" s="19" t="n"/>
    </row>
    <row r="1692">
      <c r="A1692" s="19" t="n"/>
      <c r="B1692" s="19" t="n"/>
      <c r="C1692" s="19" t="n"/>
      <c r="D1692" s="19" t="n"/>
      <c r="E1692" s="19" t="n"/>
    </row>
    <row r="1693">
      <c r="A1693" s="19" t="n"/>
      <c r="B1693" s="19" t="n"/>
      <c r="C1693" s="19" t="n"/>
      <c r="D1693" s="19" t="n"/>
      <c r="E1693" s="19" t="n"/>
    </row>
    <row r="1694">
      <c r="A1694" s="19" t="n"/>
      <c r="B1694" s="19" t="n"/>
      <c r="C1694" s="19" t="n"/>
      <c r="D1694" s="19" t="n"/>
      <c r="E1694" s="19" t="n"/>
    </row>
    <row r="1695">
      <c r="A1695" s="19" t="n"/>
      <c r="B1695" s="19" t="n"/>
      <c r="C1695" s="19" t="n"/>
      <c r="D1695" s="19" t="n"/>
      <c r="E1695" s="19" t="n"/>
    </row>
    <row r="1696">
      <c r="A1696" s="19" t="n"/>
      <c r="B1696" s="19" t="n"/>
      <c r="C1696" s="19" t="n"/>
      <c r="D1696" s="19" t="n"/>
      <c r="E1696" s="19" t="n"/>
    </row>
    <row r="1697">
      <c r="A1697" s="19" t="n"/>
      <c r="B1697" s="19" t="n"/>
      <c r="C1697" s="19" t="n"/>
      <c r="D1697" s="19" t="n"/>
      <c r="E1697" s="19" t="n"/>
    </row>
    <row r="1698">
      <c r="A1698" s="19" t="n"/>
      <c r="B1698" s="19" t="n"/>
      <c r="C1698" s="19" t="n"/>
      <c r="D1698" s="19" t="n"/>
      <c r="E1698" s="19" t="n"/>
    </row>
    <row r="1699">
      <c r="A1699" s="19" t="n"/>
      <c r="B1699" s="19" t="n"/>
      <c r="C1699" s="19" t="n"/>
      <c r="D1699" s="19" t="n"/>
      <c r="E1699" s="19" t="n"/>
    </row>
    <row r="1700">
      <c r="A1700" s="19" t="n"/>
      <c r="B1700" s="19" t="n"/>
      <c r="C1700" s="19" t="n"/>
      <c r="D1700" s="19" t="n"/>
      <c r="E1700" s="19" t="n"/>
    </row>
    <row r="1701">
      <c r="A1701" s="19" t="n"/>
      <c r="B1701" s="19" t="n"/>
      <c r="C1701" s="19" t="n"/>
      <c r="D1701" s="19" t="n"/>
      <c r="E1701" s="19" t="n"/>
    </row>
    <row r="1702">
      <c r="A1702" s="19" t="n"/>
      <c r="B1702" s="19" t="n"/>
      <c r="C1702" s="19" t="n"/>
      <c r="D1702" s="19" t="n"/>
      <c r="E1702" s="19" t="n"/>
    </row>
    <row r="1703">
      <c r="A1703" s="19" t="n"/>
      <c r="B1703" s="19" t="n"/>
      <c r="C1703" s="19" t="n"/>
      <c r="D1703" s="19" t="n"/>
      <c r="E1703" s="19" t="n"/>
    </row>
    <row r="1704">
      <c r="A1704" s="19" t="n"/>
      <c r="B1704" s="19" t="n"/>
      <c r="C1704" s="19" t="n"/>
      <c r="D1704" s="19" t="n"/>
      <c r="E1704" s="19" t="n"/>
    </row>
    <row r="1705">
      <c r="A1705" s="19" t="n"/>
      <c r="B1705" s="19" t="n"/>
      <c r="C1705" s="19" t="n"/>
      <c r="D1705" s="19" t="n"/>
      <c r="E1705" s="19" t="n"/>
    </row>
    <row r="1706">
      <c r="A1706" s="19" t="n"/>
      <c r="B1706" s="19" t="n"/>
      <c r="C1706" s="19" t="n"/>
      <c r="D1706" s="19" t="n"/>
      <c r="E1706" s="19" t="n"/>
    </row>
    <row r="1707">
      <c r="A1707" s="19" t="n"/>
      <c r="B1707" s="19" t="n"/>
      <c r="C1707" s="19" t="n"/>
      <c r="D1707" s="19" t="n"/>
      <c r="E1707" s="19" t="n"/>
    </row>
    <row r="1708">
      <c r="A1708" s="19" t="n"/>
      <c r="B1708" s="19" t="n"/>
      <c r="C1708" s="19" t="n"/>
      <c r="D1708" s="19" t="n"/>
      <c r="E1708" s="19" t="n"/>
    </row>
    <row r="1709">
      <c r="A1709" s="19" t="n"/>
      <c r="B1709" s="19" t="n"/>
      <c r="C1709" s="19" t="n"/>
      <c r="D1709" s="19" t="n"/>
      <c r="E1709" s="19" t="n"/>
    </row>
    <row r="1710">
      <c r="A1710" s="19" t="n"/>
      <c r="B1710" s="19" t="n"/>
      <c r="C1710" s="19" t="n"/>
      <c r="D1710" s="19" t="n"/>
      <c r="E1710" s="19" t="n"/>
    </row>
    <row r="1711">
      <c r="A1711" s="19" t="n"/>
      <c r="B1711" s="19" t="n"/>
      <c r="C1711" s="19" t="n"/>
      <c r="D1711" s="19" t="n"/>
      <c r="E1711" s="19" t="n"/>
    </row>
    <row r="1712">
      <c r="A1712" s="19" t="n"/>
      <c r="B1712" s="19" t="n"/>
      <c r="C1712" s="19" t="n"/>
      <c r="D1712" s="19" t="n"/>
      <c r="E1712" s="19" t="n"/>
    </row>
    <row r="1713">
      <c r="A1713" s="19" t="n"/>
      <c r="B1713" s="19" t="n"/>
      <c r="C1713" s="19" t="n"/>
      <c r="D1713" s="19" t="n"/>
      <c r="E1713" s="19" t="n"/>
    </row>
    <row r="1714">
      <c r="A1714" s="19" t="n"/>
      <c r="B1714" s="19" t="n"/>
      <c r="C1714" s="19" t="n"/>
      <c r="D1714" s="19" t="n"/>
      <c r="E1714" s="19" t="n"/>
    </row>
    <row r="1715">
      <c r="A1715" s="19" t="n"/>
      <c r="B1715" s="19" t="n"/>
      <c r="C1715" s="19" t="n"/>
      <c r="D1715" s="19" t="n"/>
      <c r="E1715" s="19" t="n"/>
    </row>
    <row r="1716">
      <c r="A1716" s="19" t="n"/>
      <c r="B1716" s="19" t="n"/>
      <c r="C1716" s="19" t="n"/>
      <c r="D1716" s="19" t="n"/>
      <c r="E1716" s="19" t="n"/>
    </row>
    <row r="1717">
      <c r="A1717" s="19" t="n"/>
      <c r="B1717" s="19" t="n"/>
      <c r="C1717" s="19" t="n"/>
      <c r="D1717" s="19" t="n"/>
      <c r="E1717" s="19" t="n"/>
    </row>
    <row r="1718">
      <c r="A1718" s="19" t="n"/>
      <c r="B1718" s="19" t="n"/>
      <c r="C1718" s="19" t="n"/>
      <c r="D1718" s="19" t="n"/>
      <c r="E1718" s="19" t="n"/>
    </row>
    <row r="1719">
      <c r="A1719" s="19" t="n"/>
      <c r="B1719" s="19" t="n"/>
      <c r="C1719" s="19" t="n"/>
      <c r="D1719" s="19" t="n"/>
      <c r="E1719" s="19" t="n"/>
    </row>
    <row r="1720">
      <c r="A1720" s="19" t="n"/>
      <c r="B1720" s="19" t="n"/>
      <c r="C1720" s="19" t="n"/>
      <c r="D1720" s="19" t="n"/>
      <c r="E1720" s="19" t="n"/>
    </row>
    <row r="1721">
      <c r="A1721" s="19" t="n"/>
      <c r="B1721" s="19" t="n"/>
      <c r="C1721" s="19" t="n"/>
      <c r="D1721" s="19" t="n"/>
      <c r="E1721" s="19" t="n"/>
    </row>
    <row r="1722">
      <c r="A1722" s="19" t="n"/>
      <c r="B1722" s="19" t="n"/>
      <c r="C1722" s="19" t="n"/>
      <c r="D1722" s="19" t="n"/>
      <c r="E1722" s="19" t="n"/>
    </row>
    <row r="1723">
      <c r="A1723" s="19" t="n"/>
      <c r="B1723" s="19" t="n"/>
      <c r="C1723" s="19" t="n"/>
      <c r="D1723" s="19" t="n"/>
      <c r="E1723" s="19" t="n"/>
    </row>
    <row r="1724">
      <c r="A1724" s="19" t="n"/>
      <c r="B1724" s="19" t="n"/>
      <c r="C1724" s="19" t="n"/>
      <c r="D1724" s="19" t="n"/>
      <c r="E1724" s="19" t="n"/>
    </row>
    <row r="1725">
      <c r="A1725" s="19" t="n"/>
      <c r="B1725" s="19" t="n"/>
      <c r="C1725" s="19" t="n"/>
      <c r="D1725" s="19" t="n"/>
      <c r="E1725" s="19" t="n"/>
    </row>
    <row r="1726">
      <c r="A1726" s="19" t="n"/>
      <c r="B1726" s="19" t="n"/>
      <c r="C1726" s="19" t="n"/>
      <c r="D1726" s="19" t="n"/>
      <c r="E1726" s="19" t="n"/>
    </row>
    <row r="1727">
      <c r="A1727" s="19" t="n"/>
      <c r="B1727" s="19" t="n"/>
      <c r="C1727" s="19" t="n"/>
      <c r="D1727" s="19" t="n"/>
      <c r="E1727" s="19" t="n"/>
    </row>
    <row r="1728">
      <c r="A1728" s="19" t="n"/>
      <c r="B1728" s="19" t="n"/>
      <c r="C1728" s="19" t="n"/>
      <c r="D1728" s="19" t="n"/>
      <c r="E1728" s="19" t="n"/>
    </row>
    <row r="1729">
      <c r="A1729" s="19" t="n"/>
      <c r="B1729" s="19" t="n"/>
      <c r="C1729" s="19" t="n"/>
      <c r="D1729" s="19" t="n"/>
      <c r="E1729" s="19" t="n"/>
    </row>
    <row r="1730">
      <c r="A1730" s="19" t="n"/>
      <c r="B1730" s="19" t="n"/>
      <c r="C1730" s="19" t="n"/>
      <c r="D1730" s="19" t="n"/>
      <c r="E1730" s="19" t="n"/>
    </row>
    <row r="1731">
      <c r="A1731" s="19" t="n"/>
      <c r="B1731" s="19" t="n"/>
      <c r="C1731" s="19" t="n"/>
      <c r="D1731" s="19" t="n"/>
      <c r="E1731" s="19" t="n"/>
    </row>
    <row r="1732">
      <c r="A1732" s="19" t="n"/>
      <c r="B1732" s="19" t="n"/>
      <c r="C1732" s="19" t="n"/>
      <c r="D1732" s="19" t="n"/>
      <c r="E1732" s="19" t="n"/>
    </row>
    <row r="1733">
      <c r="A1733" s="19" t="n"/>
      <c r="B1733" s="19" t="n"/>
      <c r="C1733" s="19" t="n"/>
      <c r="D1733" s="19" t="n"/>
      <c r="E1733" s="19" t="n"/>
    </row>
    <row r="1734">
      <c r="A1734" s="19" t="n"/>
      <c r="B1734" s="19" t="n"/>
      <c r="C1734" s="19" t="n"/>
      <c r="D1734" s="19" t="n"/>
      <c r="E1734" s="19" t="n"/>
    </row>
    <row r="1735">
      <c r="A1735" s="19" t="n"/>
      <c r="B1735" s="19" t="n"/>
      <c r="C1735" s="19" t="n"/>
      <c r="D1735" s="19" t="n"/>
      <c r="E1735" s="19" t="n"/>
    </row>
    <row r="1736">
      <c r="A1736" s="19" t="n"/>
      <c r="B1736" s="19" t="n"/>
      <c r="C1736" s="19" t="n"/>
      <c r="D1736" s="19" t="n"/>
      <c r="E1736" s="19" t="n"/>
    </row>
    <row r="1737">
      <c r="A1737" s="19" t="n"/>
      <c r="B1737" s="19" t="n"/>
      <c r="C1737" s="19" t="n"/>
      <c r="D1737" s="19" t="n"/>
      <c r="E1737" s="19" t="n"/>
    </row>
    <row r="1738">
      <c r="A1738" s="19" t="n"/>
      <c r="B1738" s="19" t="n"/>
      <c r="C1738" s="19" t="n"/>
      <c r="D1738" s="19" t="n"/>
      <c r="E1738" s="19" t="n"/>
    </row>
    <row r="1739">
      <c r="A1739" s="19" t="n"/>
      <c r="B1739" s="19" t="n"/>
      <c r="C1739" s="19" t="n"/>
      <c r="D1739" s="19" t="n"/>
      <c r="E1739" s="19" t="n"/>
    </row>
    <row r="1740">
      <c r="A1740" s="19" t="n"/>
      <c r="B1740" s="19" t="n"/>
      <c r="C1740" s="19" t="n"/>
      <c r="D1740" s="19" t="n"/>
      <c r="E1740" s="19" t="n"/>
    </row>
    <row r="1741">
      <c r="A1741" s="19" t="n"/>
      <c r="B1741" s="19" t="n"/>
      <c r="C1741" s="19" t="n"/>
      <c r="D1741" s="19" t="n"/>
      <c r="E1741" s="19" t="n"/>
    </row>
    <row r="1742">
      <c r="A1742" s="19" t="n"/>
      <c r="B1742" s="19" t="n"/>
      <c r="C1742" s="19" t="n"/>
      <c r="D1742" s="19" t="n"/>
      <c r="E1742" s="19" t="n"/>
    </row>
    <row r="1743">
      <c r="A1743" s="19" t="n"/>
      <c r="B1743" s="19" t="n"/>
      <c r="C1743" s="19" t="n"/>
      <c r="D1743" s="19" t="n"/>
      <c r="E1743" s="19" t="n"/>
    </row>
    <row r="1744">
      <c r="A1744" s="19" t="n"/>
      <c r="B1744" s="19" t="n"/>
      <c r="C1744" s="19" t="n"/>
      <c r="D1744" s="19" t="n"/>
      <c r="E1744" s="19" t="n"/>
    </row>
    <row r="1745">
      <c r="A1745" s="19" t="n"/>
      <c r="B1745" s="19" t="n"/>
      <c r="C1745" s="19" t="n"/>
      <c r="D1745" s="19" t="n"/>
      <c r="E1745" s="19" t="n"/>
    </row>
    <row r="1746">
      <c r="A1746" s="19" t="n"/>
      <c r="B1746" s="19" t="n"/>
      <c r="C1746" s="19" t="n"/>
      <c r="D1746" s="19" t="n"/>
      <c r="E1746" s="19" t="n"/>
    </row>
    <row r="1747">
      <c r="A1747" s="19" t="n"/>
      <c r="B1747" s="19" t="n"/>
      <c r="C1747" s="19" t="n"/>
      <c r="D1747" s="19" t="n"/>
      <c r="E1747" s="19" t="n"/>
    </row>
    <row r="1748">
      <c r="A1748" s="19" t="n"/>
      <c r="B1748" s="19" t="n"/>
      <c r="C1748" s="19" t="n"/>
      <c r="D1748" s="19" t="n"/>
      <c r="E1748" s="19" t="n"/>
    </row>
    <row r="1749">
      <c r="A1749" s="19" t="n"/>
      <c r="B1749" s="19" t="n"/>
      <c r="C1749" s="19" t="n"/>
      <c r="D1749" s="19" t="n"/>
      <c r="E1749" s="19" t="n"/>
    </row>
    <row r="1750">
      <c r="A1750" s="19" t="n"/>
      <c r="B1750" s="19" t="n"/>
      <c r="C1750" s="19" t="n"/>
      <c r="D1750" s="19" t="n"/>
      <c r="E1750" s="19" t="n"/>
    </row>
    <row r="1751">
      <c r="A1751" s="19" t="n"/>
      <c r="B1751" s="19" t="n"/>
      <c r="C1751" s="19" t="n"/>
      <c r="D1751" s="19" t="n"/>
      <c r="E1751" s="19" t="n"/>
    </row>
    <row r="1752">
      <c r="A1752" s="19" t="n"/>
      <c r="B1752" s="19" t="n"/>
      <c r="C1752" s="19" t="n"/>
      <c r="D1752" s="19" t="n"/>
      <c r="E1752" s="19" t="n"/>
    </row>
    <row r="1753">
      <c r="A1753" s="19" t="n"/>
      <c r="B1753" s="19" t="n"/>
      <c r="C1753" s="19" t="n"/>
      <c r="D1753" s="19" t="n"/>
      <c r="E1753" s="19" t="n"/>
    </row>
    <row r="1754">
      <c r="A1754" s="19" t="n"/>
      <c r="B1754" s="19" t="n"/>
      <c r="C1754" s="19" t="n"/>
      <c r="D1754" s="19" t="n"/>
      <c r="E1754" s="19" t="n"/>
    </row>
    <row r="1755">
      <c r="A1755" s="19" t="n"/>
      <c r="B1755" s="19" t="n"/>
      <c r="C1755" s="19" t="n"/>
      <c r="D1755" s="19" t="n"/>
      <c r="E1755" s="19" t="n"/>
    </row>
    <row r="1756">
      <c r="A1756" s="19" t="n"/>
      <c r="B1756" s="19" t="n"/>
      <c r="C1756" s="19" t="n"/>
      <c r="D1756" s="19" t="n"/>
      <c r="E1756" s="19" t="n"/>
    </row>
    <row r="1757">
      <c r="A1757" s="19" t="n"/>
      <c r="B1757" s="19" t="n"/>
      <c r="C1757" s="19" t="n"/>
      <c r="D1757" s="19" t="n"/>
      <c r="E1757" s="19" t="n"/>
    </row>
    <row r="1758">
      <c r="A1758" s="19" t="n"/>
      <c r="B1758" s="19" t="n"/>
      <c r="C1758" s="19" t="n"/>
      <c r="D1758" s="19" t="n"/>
      <c r="E1758" s="19" t="n"/>
    </row>
    <row r="1759">
      <c r="A1759" s="19" t="n"/>
      <c r="B1759" s="19" t="n"/>
      <c r="C1759" s="19" t="n"/>
      <c r="D1759" s="19" t="n"/>
      <c r="E1759" s="19" t="n"/>
    </row>
    <row r="1760">
      <c r="A1760" s="19" t="n"/>
      <c r="B1760" s="19" t="n"/>
      <c r="C1760" s="19" t="n"/>
      <c r="D1760" s="19" t="n"/>
      <c r="E1760" s="19" t="n"/>
    </row>
    <row r="1761">
      <c r="A1761" s="19" t="n"/>
      <c r="B1761" s="19" t="n"/>
      <c r="C1761" s="19" t="n"/>
      <c r="D1761" s="19" t="n"/>
      <c r="E1761" s="19" t="n"/>
    </row>
    <row r="1762">
      <c r="A1762" s="19" t="n"/>
      <c r="B1762" s="19" t="n"/>
      <c r="C1762" s="19" t="n"/>
      <c r="D1762" s="19" t="n"/>
      <c r="E1762" s="19" t="n"/>
    </row>
    <row r="1763">
      <c r="A1763" s="19" t="n"/>
      <c r="B1763" s="19" t="n"/>
      <c r="C1763" s="19" t="n"/>
      <c r="D1763" s="19" t="n"/>
      <c r="E1763" s="19" t="n"/>
    </row>
    <row r="1764">
      <c r="A1764" s="19" t="n"/>
      <c r="B1764" s="19" t="n"/>
      <c r="C1764" s="19" t="n"/>
      <c r="D1764" s="19" t="n"/>
      <c r="E1764" s="19" t="n"/>
    </row>
    <row r="1765">
      <c r="A1765" s="19" t="n"/>
      <c r="B1765" s="19" t="n"/>
      <c r="C1765" s="19" t="n"/>
      <c r="D1765" s="19" t="n"/>
      <c r="E1765" s="19" t="n"/>
    </row>
    <row r="1766">
      <c r="A1766" s="19" t="n"/>
      <c r="B1766" s="19" t="n"/>
      <c r="C1766" s="19" t="n"/>
      <c r="D1766" s="19" t="n"/>
      <c r="E1766" s="19" t="n"/>
    </row>
    <row r="1767">
      <c r="A1767" s="19" t="n"/>
      <c r="B1767" s="19" t="n"/>
      <c r="C1767" s="19" t="n"/>
      <c r="D1767" s="19" t="n"/>
      <c r="E1767" s="19" t="n"/>
    </row>
    <row r="1768">
      <c r="A1768" s="19" t="n"/>
      <c r="B1768" s="19" t="n"/>
      <c r="C1768" s="19" t="n"/>
      <c r="D1768" s="19" t="n"/>
      <c r="E1768" s="19" t="n"/>
    </row>
    <row r="1769">
      <c r="A1769" s="19" t="n"/>
      <c r="B1769" s="19" t="n"/>
      <c r="C1769" s="19" t="n"/>
      <c r="D1769" s="19" t="n"/>
      <c r="E1769" s="19" t="n"/>
    </row>
    <row r="1770">
      <c r="A1770" s="19" t="n"/>
      <c r="B1770" s="19" t="n"/>
      <c r="C1770" s="19" t="n"/>
      <c r="D1770" s="19" t="n"/>
      <c r="E1770" s="19" t="n"/>
    </row>
    <row r="1771">
      <c r="A1771" s="19" t="n"/>
      <c r="B1771" s="19" t="n"/>
      <c r="C1771" s="19" t="n"/>
      <c r="D1771" s="19" t="n"/>
      <c r="E1771" s="19" t="n"/>
    </row>
    <row r="1772">
      <c r="A1772" s="19" t="n"/>
      <c r="B1772" s="19" t="n"/>
      <c r="C1772" s="19" t="n"/>
      <c r="D1772" s="19" t="n"/>
      <c r="E1772" s="19" t="n"/>
    </row>
    <row r="1773">
      <c r="A1773" s="19" t="n"/>
      <c r="B1773" s="19" t="n"/>
      <c r="C1773" s="19" t="n"/>
      <c r="D1773" s="19" t="n"/>
      <c r="E1773" s="19" t="n"/>
    </row>
    <row r="1774">
      <c r="A1774" s="19" t="n"/>
      <c r="B1774" s="19" t="n"/>
      <c r="C1774" s="19" t="n"/>
      <c r="D1774" s="19" t="n"/>
      <c r="E1774" s="19" t="n"/>
    </row>
    <row r="1775">
      <c r="A1775" s="19" t="n"/>
      <c r="B1775" s="19" t="n"/>
      <c r="C1775" s="19" t="n"/>
      <c r="D1775" s="19" t="n"/>
      <c r="E1775" s="19" t="n"/>
    </row>
    <row r="1776">
      <c r="A1776" s="19" t="n"/>
      <c r="B1776" s="19" t="n"/>
      <c r="C1776" s="19" t="n"/>
      <c r="D1776" s="19" t="n"/>
      <c r="E1776" s="19" t="n"/>
    </row>
    <row r="1777">
      <c r="A1777" s="19" t="n"/>
      <c r="B1777" s="19" t="n"/>
      <c r="C1777" s="19" t="n"/>
      <c r="D1777" s="19" t="n"/>
      <c r="E1777" s="19" t="n"/>
    </row>
    <row r="1778">
      <c r="A1778" s="19" t="n"/>
      <c r="B1778" s="19" t="n"/>
      <c r="C1778" s="19" t="n"/>
      <c r="D1778" s="19" t="n"/>
      <c r="E1778" s="19" t="n"/>
    </row>
    <row r="1779">
      <c r="A1779" s="19" t="n"/>
      <c r="B1779" s="19" t="n"/>
      <c r="C1779" s="19" t="n"/>
      <c r="D1779" s="19" t="n"/>
      <c r="E1779" s="19" t="n"/>
    </row>
    <row r="1780">
      <c r="A1780" s="19" t="n"/>
      <c r="B1780" s="19" t="n"/>
      <c r="C1780" s="19" t="n"/>
      <c r="D1780" s="19" t="n"/>
      <c r="E1780" s="19" t="n"/>
    </row>
    <row r="1781">
      <c r="A1781" s="19" t="n"/>
      <c r="B1781" s="19" t="n"/>
      <c r="C1781" s="19" t="n"/>
      <c r="D1781" s="19" t="n"/>
      <c r="E1781" s="19" t="n"/>
    </row>
    <row r="1782">
      <c r="A1782" s="19" t="n"/>
      <c r="B1782" s="19" t="n"/>
      <c r="C1782" s="19" t="n"/>
      <c r="D1782" s="19" t="n"/>
      <c r="E1782" s="19" t="n"/>
    </row>
    <row r="1783">
      <c r="A1783" s="19" t="n"/>
      <c r="B1783" s="19" t="n"/>
      <c r="C1783" s="19" t="n"/>
      <c r="D1783" s="19" t="n"/>
      <c r="E1783" s="19" t="n"/>
    </row>
    <row r="1784">
      <c r="A1784" s="19" t="n"/>
      <c r="B1784" s="19" t="n"/>
      <c r="C1784" s="19" t="n"/>
      <c r="D1784" s="19" t="n"/>
      <c r="E1784" s="19" t="n"/>
    </row>
    <row r="1785">
      <c r="A1785" s="19" t="n"/>
      <c r="B1785" s="19" t="n"/>
      <c r="C1785" s="19" t="n"/>
      <c r="D1785" s="19" t="n"/>
      <c r="E1785" s="19" t="n"/>
    </row>
    <row r="1786">
      <c r="A1786" s="19" t="n"/>
      <c r="B1786" s="19" t="n"/>
      <c r="C1786" s="19" t="n"/>
      <c r="D1786" s="19" t="n"/>
      <c r="E1786" s="19" t="n"/>
    </row>
    <row r="1787">
      <c r="A1787" s="19" t="n"/>
      <c r="B1787" s="19" t="n"/>
      <c r="C1787" s="19" t="n"/>
      <c r="D1787" s="19" t="n"/>
      <c r="E1787" s="19" t="n"/>
    </row>
    <row r="1788">
      <c r="A1788" s="19" t="n"/>
      <c r="B1788" s="19" t="n"/>
      <c r="C1788" s="19" t="n"/>
      <c r="D1788" s="19" t="n"/>
      <c r="E1788" s="19" t="n"/>
    </row>
    <row r="1789">
      <c r="A1789" s="19" t="n"/>
      <c r="B1789" s="19" t="n"/>
      <c r="C1789" s="19" t="n"/>
      <c r="D1789" s="19" t="n"/>
      <c r="E1789" s="19" t="n"/>
    </row>
    <row r="1790">
      <c r="A1790" s="19" t="n"/>
      <c r="B1790" s="19" t="n"/>
      <c r="C1790" s="19" t="n"/>
      <c r="D1790" s="19" t="n"/>
      <c r="E1790" s="19" t="n"/>
    </row>
    <row r="1791">
      <c r="A1791" s="19" t="n"/>
      <c r="B1791" s="19" t="n"/>
      <c r="C1791" s="19" t="n"/>
      <c r="D1791" s="19" t="n"/>
      <c r="E1791" s="19" t="n"/>
    </row>
    <row r="1792">
      <c r="A1792" s="19" t="n"/>
      <c r="B1792" s="19" t="n"/>
      <c r="C1792" s="19" t="n"/>
      <c r="D1792" s="19" t="n"/>
      <c r="E1792" s="19" t="n"/>
    </row>
    <row r="1793">
      <c r="A1793" s="19" t="n"/>
      <c r="B1793" s="19" t="n"/>
      <c r="C1793" s="19" t="n"/>
      <c r="D1793" s="19" t="n"/>
      <c r="E1793" s="19" t="n"/>
    </row>
    <row r="1794">
      <c r="A1794" s="19" t="n"/>
      <c r="B1794" s="19" t="n"/>
      <c r="C1794" s="19" t="n"/>
      <c r="D1794" s="19" t="n"/>
      <c r="E1794" s="19" t="n"/>
    </row>
    <row r="1795">
      <c r="A1795" s="19" t="n"/>
      <c r="B1795" s="19" t="n"/>
      <c r="C1795" s="19" t="n"/>
      <c r="D1795" s="19" t="n"/>
      <c r="E1795" s="19" t="n"/>
    </row>
    <row r="1796">
      <c r="A1796" s="19" t="n"/>
      <c r="B1796" s="19" t="n"/>
      <c r="C1796" s="19" t="n"/>
      <c r="D1796" s="19" t="n"/>
      <c r="E1796" s="19" t="n"/>
    </row>
    <row r="1797">
      <c r="A1797" s="19" t="n"/>
      <c r="B1797" s="19" t="n"/>
      <c r="C1797" s="19" t="n"/>
      <c r="D1797" s="19" t="n"/>
      <c r="E1797" s="19" t="n"/>
    </row>
    <row r="1798">
      <c r="A1798" s="19" t="n"/>
      <c r="B1798" s="19" t="n"/>
      <c r="C1798" s="19" t="n"/>
      <c r="D1798" s="19" t="n"/>
      <c r="E1798" s="19" t="n"/>
    </row>
    <row r="1799">
      <c r="A1799" s="19" t="n"/>
      <c r="B1799" s="19" t="n"/>
      <c r="C1799" s="19" t="n"/>
      <c r="D1799" s="19" t="n"/>
      <c r="E1799" s="19" t="n"/>
    </row>
    <row r="1800">
      <c r="A1800" s="19" t="n"/>
      <c r="B1800" s="19" t="n"/>
      <c r="C1800" s="19" t="n"/>
      <c r="D1800" s="19" t="n"/>
      <c r="E1800" s="19" t="n"/>
    </row>
    <row r="1801">
      <c r="A1801" s="19" t="n"/>
      <c r="B1801" s="19" t="n"/>
      <c r="C1801" s="19" t="n"/>
      <c r="D1801" s="19" t="n"/>
      <c r="E1801" s="19" t="n"/>
    </row>
    <row r="1802">
      <c r="A1802" s="19" t="n"/>
      <c r="B1802" s="19" t="n"/>
      <c r="C1802" s="19" t="n"/>
      <c r="D1802" s="19" t="n"/>
      <c r="E1802" s="19" t="n"/>
    </row>
    <row r="1803">
      <c r="A1803" s="19" t="n"/>
      <c r="B1803" s="19" t="n"/>
      <c r="C1803" s="19" t="n"/>
      <c r="D1803" s="19" t="n"/>
      <c r="E1803" s="19" t="n"/>
    </row>
    <row r="1804">
      <c r="A1804" s="19" t="n"/>
      <c r="B1804" s="19" t="n"/>
      <c r="C1804" s="19" t="n"/>
      <c r="D1804" s="19" t="n"/>
      <c r="E1804" s="19" t="n"/>
    </row>
    <row r="1805">
      <c r="A1805" s="19" t="n"/>
      <c r="B1805" s="19" t="n"/>
      <c r="C1805" s="19" t="n"/>
      <c r="D1805" s="19" t="n"/>
      <c r="E1805" s="19" t="n"/>
    </row>
    <row r="1806">
      <c r="A1806" s="19" t="n"/>
      <c r="B1806" s="19" t="n"/>
      <c r="C1806" s="19" t="n"/>
      <c r="D1806" s="19" t="n"/>
      <c r="E1806" s="19" t="n"/>
    </row>
    <row r="1807">
      <c r="A1807" s="19" t="n"/>
      <c r="B1807" s="19" t="n"/>
      <c r="C1807" s="19" t="n"/>
      <c r="D1807" s="19" t="n"/>
      <c r="E1807" s="19" t="n"/>
    </row>
    <row r="1808">
      <c r="A1808" s="19" t="n"/>
      <c r="B1808" s="19" t="n"/>
      <c r="C1808" s="19" t="n"/>
      <c r="D1808" s="19" t="n"/>
      <c r="E1808" s="19" t="n"/>
    </row>
    <row r="1809">
      <c r="A1809" s="19" t="n"/>
      <c r="B1809" s="19" t="n"/>
      <c r="C1809" s="19" t="n"/>
      <c r="D1809" s="19" t="n"/>
      <c r="E1809" s="19" t="n"/>
    </row>
    <row r="1810">
      <c r="A1810" s="19" t="n"/>
      <c r="B1810" s="19" t="n"/>
      <c r="C1810" s="19" t="n"/>
      <c r="D1810" s="19" t="n"/>
      <c r="E1810" s="19" t="n"/>
    </row>
    <row r="1811">
      <c r="A1811" s="19" t="n"/>
      <c r="B1811" s="19" t="n"/>
      <c r="C1811" s="19" t="n"/>
      <c r="D1811" s="19" t="n"/>
      <c r="E1811" s="19" t="n"/>
    </row>
    <row r="1812">
      <c r="A1812" s="19" t="n"/>
      <c r="B1812" s="19" t="n"/>
      <c r="C1812" s="19" t="n"/>
      <c r="D1812" s="19" t="n"/>
      <c r="E1812" s="19" t="n"/>
    </row>
    <row r="1813">
      <c r="A1813" s="19" t="n"/>
      <c r="B1813" s="19" t="n"/>
      <c r="C1813" s="19" t="n"/>
      <c r="D1813" s="19" t="n"/>
      <c r="E1813" s="19" t="n"/>
    </row>
    <row r="1814">
      <c r="A1814" s="19" t="n"/>
      <c r="B1814" s="19" t="n"/>
      <c r="C1814" s="19" t="n"/>
      <c r="D1814" s="19" t="n"/>
      <c r="E1814" s="19" t="n"/>
    </row>
    <row r="1815">
      <c r="A1815" s="19" t="n"/>
      <c r="B1815" s="19" t="n"/>
      <c r="C1815" s="19" t="n"/>
      <c r="D1815" s="19" t="n"/>
      <c r="E1815" s="19" t="n"/>
    </row>
    <row r="1816">
      <c r="A1816" s="19" t="n"/>
      <c r="B1816" s="19" t="n"/>
      <c r="C1816" s="19" t="n"/>
      <c r="D1816" s="19" t="n"/>
      <c r="E1816" s="19" t="n"/>
    </row>
    <row r="1817">
      <c r="A1817" s="19" t="n"/>
      <c r="B1817" s="19" t="n"/>
      <c r="C1817" s="19" t="n"/>
      <c r="D1817" s="19" t="n"/>
      <c r="E1817" s="19" t="n"/>
    </row>
    <row r="1818">
      <c r="A1818" s="19" t="n"/>
      <c r="B1818" s="19" t="n"/>
      <c r="C1818" s="19" t="n"/>
      <c r="D1818" s="19" t="n"/>
      <c r="E1818" s="19" t="n"/>
    </row>
    <row r="1819">
      <c r="A1819" s="19" t="n"/>
      <c r="B1819" s="19" t="n"/>
      <c r="C1819" s="19" t="n"/>
      <c r="D1819" s="19" t="n"/>
      <c r="E1819" s="19" t="n"/>
    </row>
    <row r="1820">
      <c r="A1820" s="19" t="n"/>
      <c r="B1820" s="19" t="n"/>
      <c r="C1820" s="19" t="n"/>
      <c r="D1820" s="19" t="n"/>
      <c r="E1820" s="19" t="n"/>
    </row>
    <row r="1821">
      <c r="A1821" s="19" t="n"/>
      <c r="B1821" s="19" t="n"/>
      <c r="C1821" s="19" t="n"/>
      <c r="D1821" s="19" t="n"/>
      <c r="E1821" s="19" t="n"/>
    </row>
    <row r="1822">
      <c r="A1822" s="19" t="n"/>
      <c r="B1822" s="19" t="n"/>
      <c r="C1822" s="19" t="n"/>
      <c r="D1822" s="19" t="n"/>
      <c r="E1822" s="19" t="n"/>
    </row>
    <row r="1823">
      <c r="A1823" s="19" t="n"/>
      <c r="B1823" s="19" t="n"/>
      <c r="C1823" s="19" t="n"/>
      <c r="D1823" s="19" t="n"/>
      <c r="E1823" s="19" t="n"/>
    </row>
    <row r="1824">
      <c r="A1824" s="19" t="n"/>
      <c r="B1824" s="19" t="n"/>
      <c r="C1824" s="19" t="n"/>
      <c r="D1824" s="19" t="n"/>
      <c r="E1824" s="19" t="n"/>
    </row>
    <row r="1825">
      <c r="A1825" s="19" t="n"/>
      <c r="B1825" s="19" t="n"/>
      <c r="C1825" s="19" t="n"/>
      <c r="D1825" s="19" t="n"/>
      <c r="E1825" s="19" t="n"/>
    </row>
    <row r="1826">
      <c r="A1826" s="19" t="n"/>
      <c r="B1826" s="19" t="n"/>
      <c r="C1826" s="19" t="n"/>
      <c r="D1826" s="19" t="n"/>
      <c r="E1826" s="19" t="n"/>
    </row>
    <row r="1827">
      <c r="A1827" s="19" t="n"/>
      <c r="B1827" s="19" t="n"/>
      <c r="C1827" s="19" t="n"/>
      <c r="D1827" s="19" t="n"/>
      <c r="E1827" s="19" t="n"/>
    </row>
    <row r="1828">
      <c r="A1828" s="19" t="n"/>
      <c r="B1828" s="19" t="n"/>
      <c r="C1828" s="19" t="n"/>
      <c r="D1828" s="19" t="n"/>
      <c r="E1828" s="19" t="n"/>
    </row>
    <row r="1829">
      <c r="A1829" s="19" t="n"/>
      <c r="B1829" s="19" t="n"/>
      <c r="C1829" s="19" t="n"/>
      <c r="D1829" s="19" t="n"/>
      <c r="E1829" s="19" t="n"/>
    </row>
    <row r="1830">
      <c r="A1830" s="19" t="n"/>
      <c r="B1830" s="19" t="n"/>
      <c r="C1830" s="19" t="n"/>
      <c r="D1830" s="19" t="n"/>
      <c r="E1830" s="19" t="n"/>
    </row>
    <row r="1831">
      <c r="A1831" s="19" t="n"/>
      <c r="B1831" s="19" t="n"/>
      <c r="C1831" s="19" t="n"/>
      <c r="D1831" s="19" t="n"/>
      <c r="E1831" s="19" t="n"/>
    </row>
    <row r="1832">
      <c r="A1832" s="19" t="n"/>
      <c r="B1832" s="19" t="n"/>
      <c r="C1832" s="19" t="n"/>
      <c r="D1832" s="19" t="n"/>
      <c r="E1832" s="19" t="n"/>
    </row>
    <row r="1833">
      <c r="A1833" s="19" t="n"/>
      <c r="B1833" s="19" t="n"/>
      <c r="C1833" s="19" t="n"/>
      <c r="D1833" s="19" t="n"/>
      <c r="E1833" s="19" t="n"/>
    </row>
    <row r="1834">
      <c r="A1834" s="19" t="n"/>
      <c r="B1834" s="19" t="n"/>
      <c r="C1834" s="19" t="n"/>
      <c r="D1834" s="19" t="n"/>
      <c r="E1834" s="19" t="n"/>
    </row>
    <row r="1835">
      <c r="A1835" s="19" t="n"/>
      <c r="B1835" s="19" t="n"/>
      <c r="C1835" s="19" t="n"/>
      <c r="D1835" s="19" t="n"/>
      <c r="E1835" s="19" t="n"/>
    </row>
    <row r="1836">
      <c r="A1836" s="19" t="n"/>
      <c r="B1836" s="19" t="n"/>
      <c r="C1836" s="19" t="n"/>
      <c r="D1836" s="19" t="n"/>
      <c r="E1836" s="19" t="n"/>
    </row>
    <row r="1837">
      <c r="A1837" s="19" t="n"/>
      <c r="B1837" s="19" t="n"/>
      <c r="C1837" s="19" t="n"/>
      <c r="D1837" s="19" t="n"/>
      <c r="E1837" s="19" t="n"/>
    </row>
    <row r="1838">
      <c r="A1838" s="19" t="n"/>
      <c r="B1838" s="19" t="n"/>
      <c r="C1838" s="19" t="n"/>
      <c r="D1838" s="19" t="n"/>
      <c r="E1838" s="19" t="n"/>
    </row>
    <row r="1839">
      <c r="A1839" s="19" t="n"/>
      <c r="B1839" s="19" t="n"/>
      <c r="C1839" s="19" t="n"/>
      <c r="D1839" s="19" t="n"/>
      <c r="E1839" s="19" t="n"/>
    </row>
    <row r="1840">
      <c r="A1840" s="19" t="n"/>
      <c r="B1840" s="19" t="n"/>
      <c r="C1840" s="19" t="n"/>
      <c r="D1840" s="19" t="n"/>
      <c r="E1840" s="19" t="n"/>
    </row>
    <row r="1841">
      <c r="A1841" s="19" t="n"/>
      <c r="B1841" s="19" t="n"/>
      <c r="C1841" s="19" t="n"/>
      <c r="D1841" s="19" t="n"/>
      <c r="E1841" s="19" t="n"/>
    </row>
    <row r="1842">
      <c r="A1842" s="19" t="n"/>
      <c r="B1842" s="19" t="n"/>
      <c r="C1842" s="19" t="n"/>
      <c r="D1842" s="19" t="n"/>
      <c r="E1842" s="19" t="n"/>
    </row>
    <row r="1843">
      <c r="A1843" s="19" t="n"/>
      <c r="B1843" s="19" t="n"/>
      <c r="C1843" s="19" t="n"/>
      <c r="D1843" s="19" t="n"/>
      <c r="E1843" s="19" t="n"/>
    </row>
    <row r="1844">
      <c r="A1844" s="19" t="n"/>
      <c r="B1844" s="19" t="n"/>
      <c r="C1844" s="19" t="n"/>
      <c r="D1844" s="19" t="n"/>
      <c r="E1844" s="19" t="n"/>
    </row>
    <row r="1845">
      <c r="A1845" s="19" t="n"/>
      <c r="B1845" s="19" t="n"/>
      <c r="C1845" s="19" t="n"/>
      <c r="D1845" s="19" t="n"/>
      <c r="E1845" s="19" t="n"/>
    </row>
    <row r="1846">
      <c r="A1846" s="19" t="n"/>
      <c r="B1846" s="19" t="n"/>
      <c r="C1846" s="19" t="n"/>
      <c r="D1846" s="19" t="n"/>
      <c r="E1846" s="19" t="n"/>
    </row>
    <row r="1847">
      <c r="A1847" s="19" t="n"/>
      <c r="B1847" s="19" t="n"/>
      <c r="C1847" s="19" t="n"/>
      <c r="D1847" s="19" t="n"/>
      <c r="E1847" s="19" t="n"/>
    </row>
    <row r="1848">
      <c r="A1848" s="19" t="n"/>
      <c r="B1848" s="19" t="n"/>
      <c r="C1848" s="19" t="n"/>
      <c r="D1848" s="19" t="n"/>
      <c r="E1848" s="19" t="n"/>
    </row>
    <row r="1849">
      <c r="A1849" s="19" t="n"/>
      <c r="B1849" s="19" t="n"/>
      <c r="C1849" s="19" t="n"/>
      <c r="D1849" s="19" t="n"/>
      <c r="E1849" s="19" t="n"/>
    </row>
    <row r="1850">
      <c r="A1850" s="19" t="n"/>
      <c r="B1850" s="19" t="n"/>
      <c r="C1850" s="19" t="n"/>
      <c r="D1850" s="19" t="n"/>
      <c r="E1850" s="19" t="n"/>
    </row>
    <row r="1851">
      <c r="A1851" s="19" t="n"/>
      <c r="B1851" s="19" t="n"/>
      <c r="C1851" s="19" t="n"/>
      <c r="D1851" s="19" t="n"/>
      <c r="E1851" s="19" t="n"/>
    </row>
    <row r="1852">
      <c r="A1852" s="19" t="n"/>
      <c r="B1852" s="19" t="n"/>
      <c r="C1852" s="19" t="n"/>
      <c r="D1852" s="19" t="n"/>
      <c r="E1852" s="19" t="n"/>
    </row>
    <row r="1853">
      <c r="A1853" s="19" t="n"/>
      <c r="B1853" s="19" t="n"/>
      <c r="C1853" s="19" t="n"/>
      <c r="D1853" s="19" t="n"/>
      <c r="E1853" s="19" t="n"/>
    </row>
    <row r="1854">
      <c r="A1854" s="19" t="n"/>
      <c r="B1854" s="19" t="n"/>
      <c r="C1854" s="19" t="n"/>
      <c r="D1854" s="19" t="n"/>
      <c r="E1854" s="19" t="n"/>
    </row>
    <row r="1855">
      <c r="A1855" s="19" t="n"/>
      <c r="B1855" s="19" t="n"/>
      <c r="C1855" s="19" t="n"/>
      <c r="D1855" s="19" t="n"/>
      <c r="E1855" s="19" t="n"/>
    </row>
    <row r="1856">
      <c r="A1856" s="19" t="n"/>
      <c r="B1856" s="19" t="n"/>
      <c r="C1856" s="19" t="n"/>
      <c r="D1856" s="19" t="n"/>
      <c r="E1856" s="19" t="n"/>
    </row>
    <row r="1857">
      <c r="A1857" s="19" t="n"/>
      <c r="B1857" s="19" t="n"/>
      <c r="C1857" s="19" t="n"/>
      <c r="D1857" s="19" t="n"/>
      <c r="E1857" s="19" t="n"/>
    </row>
    <row r="1858">
      <c r="A1858" s="19" t="n"/>
      <c r="B1858" s="19" t="n"/>
      <c r="C1858" s="19" t="n"/>
      <c r="D1858" s="19" t="n"/>
      <c r="E1858" s="19" t="n"/>
    </row>
    <row r="1859">
      <c r="A1859" s="19" t="n"/>
      <c r="B1859" s="19" t="n"/>
      <c r="C1859" s="19" t="n"/>
      <c r="D1859" s="19" t="n"/>
      <c r="E1859" s="19" t="n"/>
    </row>
    <row r="1860">
      <c r="A1860" s="19" t="n"/>
      <c r="B1860" s="19" t="n"/>
      <c r="C1860" s="19" t="n"/>
      <c r="D1860" s="19" t="n"/>
      <c r="E1860" s="19" t="n"/>
    </row>
    <row r="1861">
      <c r="A1861" s="19" t="n"/>
      <c r="B1861" s="19" t="n"/>
      <c r="C1861" s="19" t="n"/>
      <c r="D1861" s="19" t="n"/>
      <c r="E1861" s="19" t="n"/>
    </row>
    <row r="1862">
      <c r="A1862" s="19" t="n"/>
      <c r="B1862" s="19" t="n"/>
      <c r="C1862" s="19" t="n"/>
      <c r="D1862" s="19" t="n"/>
      <c r="E1862" s="19" t="n"/>
    </row>
    <row r="1863">
      <c r="A1863" s="19" t="n"/>
      <c r="B1863" s="19" t="n"/>
      <c r="C1863" s="19" t="n"/>
      <c r="D1863" s="19" t="n"/>
      <c r="E1863" s="19" t="n"/>
    </row>
    <row r="1864">
      <c r="A1864" s="19" t="n"/>
      <c r="B1864" s="19" t="n"/>
      <c r="C1864" s="19" t="n"/>
      <c r="D1864" s="19" t="n"/>
      <c r="E1864" s="19" t="n"/>
    </row>
    <row r="1865">
      <c r="A1865" s="19" t="n"/>
      <c r="B1865" s="19" t="n"/>
      <c r="C1865" s="19" t="n"/>
      <c r="D1865" s="19" t="n"/>
      <c r="E1865" s="19" t="n"/>
    </row>
    <row r="1866">
      <c r="A1866" s="19" t="n"/>
      <c r="B1866" s="19" t="n"/>
      <c r="C1866" s="19" t="n"/>
      <c r="D1866" s="19" t="n"/>
      <c r="E1866" s="19" t="n"/>
    </row>
    <row r="1867">
      <c r="A1867" s="19" t="n"/>
      <c r="B1867" s="19" t="n"/>
      <c r="C1867" s="19" t="n"/>
      <c r="D1867" s="19" t="n"/>
      <c r="E1867" s="19" t="n"/>
    </row>
    <row r="1868">
      <c r="A1868" s="19" t="n"/>
      <c r="B1868" s="19" t="n"/>
      <c r="C1868" s="19" t="n"/>
      <c r="D1868" s="19" t="n"/>
      <c r="E1868" s="19" t="n"/>
    </row>
    <row r="1869">
      <c r="A1869" s="19" t="n"/>
      <c r="B1869" s="19" t="n"/>
      <c r="C1869" s="19" t="n"/>
      <c r="D1869" s="19" t="n"/>
      <c r="E1869" s="19" t="n"/>
    </row>
    <row r="1870">
      <c r="A1870" s="19" t="n"/>
      <c r="B1870" s="19" t="n"/>
      <c r="C1870" s="19" t="n"/>
      <c r="D1870" s="19" t="n"/>
      <c r="E1870" s="19" t="n"/>
    </row>
    <row r="1871">
      <c r="A1871" s="19" t="n"/>
      <c r="B1871" s="19" t="n"/>
      <c r="C1871" s="19" t="n"/>
      <c r="D1871" s="19" t="n"/>
      <c r="E1871" s="19" t="n"/>
    </row>
    <row r="1872">
      <c r="A1872" s="19" t="n"/>
      <c r="B1872" s="19" t="n"/>
      <c r="C1872" s="19" t="n"/>
      <c r="D1872" s="19" t="n"/>
      <c r="E1872" s="19" t="n"/>
    </row>
    <row r="1873">
      <c r="A1873" s="19" t="n"/>
      <c r="B1873" s="19" t="n"/>
      <c r="C1873" s="19" t="n"/>
      <c r="D1873" s="19" t="n"/>
      <c r="E1873" s="19" t="n"/>
    </row>
    <row r="1874">
      <c r="A1874" s="19" t="n"/>
      <c r="B1874" s="19" t="n"/>
      <c r="C1874" s="19" t="n"/>
      <c r="D1874" s="19" t="n"/>
      <c r="E1874" s="19" t="n"/>
    </row>
    <row r="1875">
      <c r="A1875" s="19" t="n"/>
      <c r="B1875" s="19" t="n"/>
      <c r="C1875" s="19" t="n"/>
      <c r="D1875" s="19" t="n"/>
      <c r="E1875" s="19" t="n"/>
    </row>
    <row r="1876">
      <c r="A1876" s="19" t="n"/>
      <c r="B1876" s="19" t="n"/>
      <c r="C1876" s="19" t="n"/>
      <c r="D1876" s="19" t="n"/>
      <c r="E1876" s="19" t="n"/>
    </row>
    <row r="1877">
      <c r="A1877" s="19" t="n"/>
      <c r="B1877" s="19" t="n"/>
      <c r="C1877" s="19" t="n"/>
      <c r="D1877" s="19" t="n"/>
      <c r="E1877" s="19" t="n"/>
    </row>
    <row r="1878">
      <c r="A1878" s="19" t="n"/>
      <c r="B1878" s="19" t="n"/>
      <c r="C1878" s="19" t="n"/>
      <c r="D1878" s="19" t="n"/>
      <c r="E1878" s="19" t="n"/>
    </row>
    <row r="1879">
      <c r="A1879" s="19" t="n"/>
      <c r="B1879" s="19" t="n"/>
      <c r="C1879" s="19" t="n"/>
      <c r="D1879" s="19" t="n"/>
      <c r="E1879" s="19" t="n"/>
    </row>
    <row r="1880">
      <c r="A1880" s="19" t="n"/>
      <c r="B1880" s="19" t="n"/>
      <c r="C1880" s="19" t="n"/>
      <c r="D1880" s="19" t="n"/>
      <c r="E1880" s="19" t="n"/>
    </row>
    <row r="1881">
      <c r="A1881" s="19" t="n"/>
      <c r="B1881" s="19" t="n"/>
      <c r="C1881" s="19" t="n"/>
      <c r="D1881" s="19" t="n"/>
      <c r="E1881" s="19" t="n"/>
    </row>
    <row r="1882">
      <c r="A1882" s="19" t="n"/>
      <c r="B1882" s="19" t="n"/>
      <c r="C1882" s="19" t="n"/>
      <c r="D1882" s="19" t="n"/>
      <c r="E1882" s="19" t="n"/>
    </row>
    <row r="1883">
      <c r="A1883" s="19" t="n"/>
      <c r="B1883" s="19" t="n"/>
      <c r="C1883" s="19" t="n"/>
      <c r="D1883" s="19" t="n"/>
      <c r="E1883" s="19" t="n"/>
    </row>
    <row r="1884">
      <c r="A1884" s="19" t="n"/>
      <c r="B1884" s="19" t="n"/>
      <c r="C1884" s="19" t="n"/>
      <c r="D1884" s="19" t="n"/>
      <c r="E1884" s="19" t="n"/>
    </row>
    <row r="1885">
      <c r="A1885" s="19" t="n"/>
      <c r="B1885" s="19" t="n"/>
      <c r="C1885" s="19" t="n"/>
      <c r="D1885" s="19" t="n"/>
      <c r="E1885" s="19" t="n"/>
    </row>
    <row r="1886">
      <c r="A1886" s="19" t="n"/>
      <c r="B1886" s="19" t="n"/>
      <c r="C1886" s="19" t="n"/>
      <c r="D1886" s="19" t="n"/>
      <c r="E1886" s="19" t="n"/>
    </row>
    <row r="1887">
      <c r="A1887" s="19" t="n"/>
      <c r="B1887" s="19" t="n"/>
      <c r="C1887" s="19" t="n"/>
      <c r="D1887" s="19" t="n"/>
      <c r="E1887" s="19" t="n"/>
    </row>
    <row r="1888">
      <c r="A1888" s="19" t="n"/>
      <c r="B1888" s="19" t="n"/>
      <c r="C1888" s="19" t="n"/>
      <c r="D1888" s="19" t="n"/>
      <c r="E1888" s="19" t="n"/>
    </row>
    <row r="1889">
      <c r="A1889" s="19" t="n"/>
      <c r="B1889" s="19" t="n"/>
      <c r="C1889" s="19" t="n"/>
      <c r="D1889" s="19" t="n"/>
      <c r="E1889" s="19" t="n"/>
    </row>
    <row r="1890">
      <c r="A1890" s="19" t="n"/>
      <c r="B1890" s="19" t="n"/>
      <c r="C1890" s="19" t="n"/>
      <c r="D1890" s="19" t="n"/>
      <c r="E1890" s="19" t="n"/>
    </row>
    <row r="1891">
      <c r="A1891" s="19" t="n"/>
      <c r="B1891" s="19" t="n"/>
      <c r="C1891" s="19" t="n"/>
      <c r="D1891" s="19" t="n"/>
      <c r="E1891" s="19" t="n"/>
    </row>
    <row r="1892">
      <c r="A1892" s="19" t="n"/>
      <c r="B1892" s="19" t="n"/>
      <c r="C1892" s="19" t="n"/>
      <c r="D1892" s="19" t="n"/>
      <c r="E1892" s="19" t="n"/>
    </row>
    <row r="1893">
      <c r="A1893" s="19" t="n"/>
      <c r="B1893" s="19" t="n"/>
      <c r="C1893" s="19" t="n"/>
      <c r="D1893" s="19" t="n"/>
      <c r="E1893" s="19" t="n"/>
    </row>
    <row r="1894">
      <c r="A1894" s="19" t="n"/>
      <c r="B1894" s="19" t="n"/>
      <c r="C1894" s="19" t="n"/>
      <c r="D1894" s="19" t="n"/>
      <c r="E1894" s="19" t="n"/>
    </row>
    <row r="1895">
      <c r="A1895" s="19" t="n"/>
      <c r="B1895" s="19" t="n"/>
      <c r="C1895" s="19" t="n"/>
      <c r="D1895" s="19" t="n"/>
      <c r="E1895" s="19" t="n"/>
    </row>
    <row r="1896">
      <c r="A1896" s="19" t="n"/>
      <c r="B1896" s="19" t="n"/>
      <c r="C1896" s="19" t="n"/>
      <c r="D1896" s="19" t="n"/>
      <c r="E1896" s="19" t="n"/>
    </row>
    <row r="1897">
      <c r="A1897" s="19" t="n"/>
      <c r="B1897" s="19" t="n"/>
      <c r="C1897" s="19" t="n"/>
      <c r="D1897" s="19" t="n"/>
      <c r="E1897" s="19" t="n"/>
    </row>
    <row r="1898">
      <c r="A1898" s="19" t="n"/>
      <c r="B1898" s="19" t="n"/>
      <c r="C1898" s="19" t="n"/>
      <c r="D1898" s="19" t="n"/>
      <c r="E1898" s="19" t="n"/>
    </row>
    <row r="1899">
      <c r="A1899" s="19" t="n"/>
      <c r="B1899" s="19" t="n"/>
      <c r="C1899" s="19" t="n"/>
      <c r="D1899" s="19" t="n"/>
      <c r="E1899" s="19" t="n"/>
    </row>
    <row r="1900">
      <c r="A1900" s="19" t="n"/>
      <c r="B1900" s="19" t="n"/>
      <c r="C1900" s="19" t="n"/>
      <c r="D1900" s="19" t="n"/>
      <c r="E1900" s="19" t="n"/>
    </row>
    <row r="1901">
      <c r="A1901" s="19" t="n"/>
      <c r="B1901" s="19" t="n"/>
      <c r="C1901" s="19" t="n"/>
      <c r="D1901" s="19" t="n"/>
      <c r="E1901" s="19" t="n"/>
    </row>
    <row r="1902">
      <c r="A1902" s="19" t="n"/>
      <c r="B1902" s="19" t="n"/>
      <c r="C1902" s="19" t="n"/>
      <c r="D1902" s="19" t="n"/>
      <c r="E1902" s="19" t="n"/>
    </row>
    <row r="1903">
      <c r="A1903" s="19" t="n"/>
      <c r="B1903" s="19" t="n"/>
      <c r="C1903" s="19" t="n"/>
      <c r="D1903" s="19" t="n"/>
      <c r="E1903" s="19" t="n"/>
    </row>
    <row r="1904">
      <c r="A1904" s="19" t="n"/>
      <c r="B1904" s="19" t="n"/>
      <c r="C1904" s="19" t="n"/>
      <c r="D1904" s="19" t="n"/>
      <c r="E1904" s="19" t="n"/>
    </row>
    <row r="1905">
      <c r="A1905" s="19" t="n"/>
      <c r="B1905" s="19" t="n"/>
      <c r="C1905" s="19" t="n"/>
      <c r="D1905" s="19" t="n"/>
      <c r="E1905" s="19" t="n"/>
    </row>
    <row r="1906">
      <c r="A1906" s="19" t="n"/>
      <c r="B1906" s="19" t="n"/>
      <c r="C1906" s="19" t="n"/>
      <c r="D1906" s="19" t="n"/>
      <c r="E1906" s="19" t="n"/>
    </row>
    <row r="1907">
      <c r="A1907" s="19" t="n"/>
      <c r="B1907" s="19" t="n"/>
      <c r="C1907" s="19" t="n"/>
      <c r="D1907" s="19" t="n"/>
      <c r="E1907" s="19" t="n"/>
    </row>
    <row r="1908">
      <c r="A1908" s="19" t="n"/>
      <c r="B1908" s="19" t="n"/>
      <c r="C1908" s="19" t="n"/>
      <c r="D1908" s="19" t="n"/>
      <c r="E1908" s="19" t="n"/>
    </row>
    <row r="1909">
      <c r="A1909" s="19" t="n"/>
      <c r="B1909" s="19" t="n"/>
      <c r="C1909" s="19" t="n"/>
      <c r="D1909" s="19" t="n"/>
      <c r="E1909" s="19" t="n"/>
    </row>
    <row r="1910">
      <c r="A1910" s="19" t="n"/>
      <c r="B1910" s="19" t="n"/>
      <c r="C1910" s="19" t="n"/>
      <c r="D1910" s="19" t="n"/>
      <c r="E1910" s="19" t="n"/>
    </row>
    <row r="1911">
      <c r="A1911" s="19" t="n"/>
      <c r="B1911" s="19" t="n"/>
      <c r="C1911" s="19" t="n"/>
      <c r="D1911" s="19" t="n"/>
      <c r="E1911" s="19" t="n"/>
    </row>
    <row r="1912">
      <c r="A1912" s="19" t="n"/>
      <c r="B1912" s="19" t="n"/>
      <c r="C1912" s="19" t="n"/>
      <c r="D1912" s="19" t="n"/>
      <c r="E1912" s="19" t="n"/>
    </row>
    <row r="1913">
      <c r="A1913" s="19" t="n"/>
      <c r="B1913" s="19" t="n"/>
      <c r="C1913" s="19" t="n"/>
      <c r="D1913" s="19" t="n"/>
      <c r="E1913" s="19" t="n"/>
    </row>
    <row r="1914">
      <c r="A1914" s="19" t="n"/>
      <c r="B1914" s="19" t="n"/>
      <c r="C1914" s="19" t="n"/>
      <c r="D1914" s="19" t="n"/>
      <c r="E1914" s="19" t="n"/>
    </row>
    <row r="1915">
      <c r="A1915" s="19" t="n"/>
      <c r="B1915" s="19" t="n"/>
      <c r="C1915" s="19" t="n"/>
      <c r="D1915" s="19" t="n"/>
      <c r="E1915" s="19" t="n"/>
    </row>
    <row r="1916">
      <c r="A1916" s="19" t="n"/>
      <c r="B1916" s="19" t="n"/>
      <c r="C1916" s="19" t="n"/>
      <c r="D1916" s="19" t="n"/>
      <c r="E1916" s="19" t="n"/>
    </row>
    <row r="1917">
      <c r="A1917" s="19" t="n"/>
      <c r="B1917" s="19" t="n"/>
      <c r="C1917" s="19" t="n"/>
      <c r="D1917" s="19" t="n"/>
      <c r="E1917" s="19" t="n"/>
    </row>
    <row r="1918">
      <c r="A1918" s="19" t="n"/>
      <c r="B1918" s="19" t="n"/>
      <c r="C1918" s="19" t="n"/>
      <c r="D1918" s="19" t="n"/>
      <c r="E1918" s="19" t="n"/>
    </row>
    <row r="1919">
      <c r="A1919" s="19" t="n"/>
      <c r="B1919" s="19" t="n"/>
      <c r="C1919" s="19" t="n"/>
      <c r="D1919" s="19" t="n"/>
      <c r="E1919" s="19" t="n"/>
    </row>
    <row r="1920">
      <c r="A1920" s="19" t="n"/>
      <c r="B1920" s="19" t="n"/>
      <c r="C1920" s="19" t="n"/>
      <c r="D1920" s="19" t="n"/>
      <c r="E1920" s="19" t="n"/>
    </row>
    <row r="1921">
      <c r="A1921" s="19" t="n"/>
      <c r="B1921" s="19" t="n"/>
      <c r="C1921" s="19" t="n"/>
      <c r="D1921" s="19" t="n"/>
      <c r="E1921" s="19" t="n"/>
    </row>
    <row r="1922">
      <c r="A1922" s="19" t="n"/>
      <c r="B1922" s="19" t="n"/>
      <c r="C1922" s="19" t="n"/>
      <c r="D1922" s="19" t="n"/>
      <c r="E1922" s="19" t="n"/>
    </row>
    <row r="1923">
      <c r="A1923" s="19" t="n"/>
      <c r="B1923" s="19" t="n"/>
      <c r="C1923" s="19" t="n"/>
      <c r="D1923" s="19" t="n"/>
      <c r="E1923" s="19" t="n"/>
    </row>
    <row r="1924">
      <c r="A1924" s="19" t="n"/>
      <c r="B1924" s="19" t="n"/>
      <c r="C1924" s="19" t="n"/>
      <c r="D1924" s="19" t="n"/>
      <c r="E1924" s="19" t="n"/>
    </row>
    <row r="1925">
      <c r="A1925" s="19" t="n"/>
      <c r="B1925" s="19" t="n"/>
      <c r="C1925" s="19" t="n"/>
      <c r="D1925" s="19" t="n"/>
      <c r="E1925" s="19" t="n"/>
    </row>
    <row r="1926">
      <c r="A1926" s="19" t="n"/>
      <c r="B1926" s="19" t="n"/>
      <c r="C1926" s="19" t="n"/>
      <c r="D1926" s="19" t="n"/>
      <c r="E1926" s="19" t="n"/>
    </row>
    <row r="1927">
      <c r="A1927" s="19" t="n"/>
      <c r="B1927" s="19" t="n"/>
      <c r="C1927" s="19" t="n"/>
      <c r="D1927" s="19" t="n"/>
      <c r="E1927" s="19" t="n"/>
    </row>
    <row r="1928">
      <c r="A1928" s="19" t="n"/>
      <c r="B1928" s="19" t="n"/>
      <c r="C1928" s="19" t="n"/>
      <c r="D1928" s="19" t="n"/>
      <c r="E1928" s="19" t="n"/>
    </row>
    <row r="1929">
      <c r="A1929" s="19" t="n"/>
      <c r="B1929" s="19" t="n"/>
      <c r="C1929" s="19" t="n"/>
      <c r="D1929" s="19" t="n"/>
      <c r="E1929" s="19" t="n"/>
    </row>
    <row r="1930">
      <c r="A1930" s="19" t="n"/>
      <c r="B1930" s="19" t="n"/>
      <c r="C1930" s="19" t="n"/>
      <c r="D1930" s="19" t="n"/>
      <c r="E1930" s="19" t="n"/>
    </row>
    <row r="1931">
      <c r="A1931" s="19" t="n"/>
      <c r="B1931" s="19" t="n"/>
      <c r="C1931" s="19" t="n"/>
      <c r="D1931" s="19" t="n"/>
      <c r="E1931" s="19" t="n"/>
    </row>
    <row r="1932">
      <c r="A1932" s="19" t="n"/>
      <c r="B1932" s="19" t="n"/>
      <c r="C1932" s="19" t="n"/>
      <c r="D1932" s="19" t="n"/>
      <c r="E1932" s="19" t="n"/>
    </row>
    <row r="1933">
      <c r="A1933" s="19" t="n"/>
      <c r="B1933" s="19" t="n"/>
      <c r="C1933" s="19" t="n"/>
      <c r="D1933" s="19" t="n"/>
      <c r="E1933" s="19" t="n"/>
    </row>
    <row r="1934">
      <c r="A1934" s="19" t="n"/>
      <c r="B1934" s="19" t="n"/>
      <c r="C1934" s="19" t="n"/>
      <c r="D1934" s="19" t="n"/>
      <c r="E1934" s="19" t="n"/>
    </row>
    <row r="1935">
      <c r="A1935" s="19" t="n"/>
      <c r="B1935" s="19" t="n"/>
      <c r="C1935" s="19" t="n"/>
      <c r="D1935" s="19" t="n"/>
      <c r="E1935" s="19" t="n"/>
    </row>
    <row r="1936">
      <c r="A1936" s="19" t="n"/>
      <c r="B1936" s="19" t="n"/>
      <c r="C1936" s="19" t="n"/>
      <c r="D1936" s="19" t="n"/>
      <c r="E1936" s="19" t="n"/>
    </row>
    <row r="1937">
      <c r="A1937" s="19" t="n"/>
      <c r="B1937" s="19" t="n"/>
      <c r="C1937" s="19" t="n"/>
      <c r="D1937" s="19" t="n"/>
      <c r="E1937" s="19" t="n"/>
    </row>
    <row r="1938">
      <c r="A1938" s="19" t="n"/>
      <c r="B1938" s="19" t="n"/>
      <c r="C1938" s="19" t="n"/>
      <c r="D1938" s="19" t="n"/>
      <c r="E1938" s="19" t="n"/>
    </row>
    <row r="1939">
      <c r="A1939" s="19" t="n"/>
      <c r="B1939" s="19" t="n"/>
      <c r="C1939" s="19" t="n"/>
      <c r="D1939" s="19" t="n"/>
      <c r="E1939" s="19" t="n"/>
    </row>
    <row r="1940">
      <c r="A1940" s="19" t="n"/>
      <c r="B1940" s="19" t="n"/>
      <c r="C1940" s="19" t="n"/>
      <c r="D1940" s="19" t="n"/>
      <c r="E1940" s="19" t="n"/>
    </row>
    <row r="1941">
      <c r="A1941" s="19" t="n"/>
      <c r="B1941" s="19" t="n"/>
      <c r="C1941" s="19" t="n"/>
      <c r="D1941" s="19" t="n"/>
      <c r="E1941" s="19" t="n"/>
    </row>
    <row r="1942">
      <c r="A1942" s="19" t="n"/>
      <c r="B1942" s="19" t="n"/>
      <c r="C1942" s="19" t="n"/>
      <c r="D1942" s="19" t="n"/>
      <c r="E1942" s="19" t="n"/>
    </row>
    <row r="1943">
      <c r="A1943" s="19" t="n"/>
      <c r="B1943" s="19" t="n"/>
      <c r="C1943" s="19" t="n"/>
      <c r="D1943" s="19" t="n"/>
      <c r="E1943" s="19" t="n"/>
    </row>
    <row r="1944">
      <c r="A1944" s="19" t="n"/>
      <c r="B1944" s="19" t="n"/>
      <c r="C1944" s="19" t="n"/>
      <c r="D1944" s="19" t="n"/>
      <c r="E1944" s="19" t="n"/>
    </row>
    <row r="1945">
      <c r="A1945" s="19" t="n"/>
      <c r="B1945" s="19" t="n"/>
      <c r="C1945" s="19" t="n"/>
      <c r="D1945" s="19" t="n"/>
      <c r="E1945" s="19" t="n"/>
    </row>
    <row r="1946">
      <c r="A1946" s="19" t="n"/>
      <c r="B1946" s="19" t="n"/>
      <c r="C1946" s="19" t="n"/>
      <c r="D1946" s="19" t="n"/>
      <c r="E1946" s="19" t="n"/>
    </row>
    <row r="1947">
      <c r="A1947" s="19" t="n"/>
      <c r="B1947" s="19" t="n"/>
      <c r="C1947" s="19" t="n"/>
      <c r="D1947" s="19" t="n"/>
      <c r="E1947" s="19" t="n"/>
    </row>
    <row r="1948">
      <c r="A1948" s="19" t="n"/>
      <c r="B1948" s="19" t="n"/>
      <c r="C1948" s="19" t="n"/>
      <c r="D1948" s="19" t="n"/>
      <c r="E1948" s="19" t="n"/>
    </row>
    <row r="1949">
      <c r="A1949" s="19" t="n"/>
      <c r="B1949" s="19" t="n"/>
      <c r="C1949" s="19" t="n"/>
      <c r="D1949" s="19" t="n"/>
      <c r="E1949" s="19" t="n"/>
    </row>
    <row r="1950">
      <c r="A1950" s="19" t="n"/>
      <c r="B1950" s="19" t="n"/>
      <c r="C1950" s="19" t="n"/>
      <c r="D1950" s="19" t="n"/>
      <c r="E1950" s="19" t="n"/>
    </row>
    <row r="1951">
      <c r="A1951" s="19" t="n"/>
      <c r="B1951" s="19" t="n"/>
      <c r="C1951" s="19" t="n"/>
      <c r="D1951" s="19" t="n"/>
      <c r="E1951" s="19" t="n"/>
    </row>
    <row r="1952">
      <c r="A1952" s="19" t="n"/>
      <c r="B1952" s="19" t="n"/>
      <c r="C1952" s="19" t="n"/>
      <c r="D1952" s="19" t="n"/>
      <c r="E1952" s="19" t="n"/>
    </row>
    <row r="1953">
      <c r="A1953" s="19" t="n"/>
      <c r="B1953" s="19" t="n"/>
      <c r="C1953" s="19" t="n"/>
      <c r="D1953" s="19" t="n"/>
      <c r="E1953" s="19" t="n"/>
    </row>
    <row r="1954">
      <c r="A1954" s="19" t="n"/>
      <c r="B1954" s="19" t="n"/>
      <c r="C1954" s="19" t="n"/>
      <c r="D1954" s="19" t="n"/>
      <c r="E1954" s="19" t="n"/>
    </row>
    <row r="1955">
      <c r="A1955" s="19" t="n"/>
      <c r="B1955" s="19" t="n"/>
      <c r="C1955" s="19" t="n"/>
      <c r="D1955" s="19" t="n"/>
      <c r="E1955" s="19" t="n"/>
    </row>
    <row r="1956">
      <c r="A1956" s="19" t="n"/>
      <c r="B1956" s="19" t="n"/>
      <c r="C1956" s="19" t="n"/>
      <c r="D1956" s="19" t="n"/>
      <c r="E1956" s="19" t="n"/>
    </row>
    <row r="1957">
      <c r="A1957" s="19" t="n"/>
      <c r="B1957" s="19" t="n"/>
      <c r="C1957" s="19" t="n"/>
      <c r="D1957" s="19" t="n"/>
      <c r="E1957" s="19" t="n"/>
    </row>
    <row r="1958">
      <c r="A1958" s="19" t="n"/>
      <c r="B1958" s="19" t="n"/>
      <c r="C1958" s="19" t="n"/>
      <c r="D1958" s="19" t="n"/>
      <c r="E1958" s="19" t="n"/>
    </row>
    <row r="1959">
      <c r="A1959" s="19" t="n"/>
      <c r="B1959" s="19" t="n"/>
      <c r="C1959" s="19" t="n"/>
      <c r="D1959" s="19" t="n"/>
      <c r="E1959" s="19" t="n"/>
    </row>
    <row r="1960">
      <c r="A1960" s="19" t="n"/>
      <c r="B1960" s="19" t="n"/>
      <c r="C1960" s="19" t="n"/>
      <c r="D1960" s="19" t="n"/>
      <c r="E1960" s="19" t="n"/>
    </row>
    <row r="1961">
      <c r="A1961" s="19" t="n"/>
      <c r="B1961" s="19" t="n"/>
      <c r="C1961" s="19" t="n"/>
      <c r="D1961" s="19" t="n"/>
      <c r="E1961" s="19" t="n"/>
    </row>
    <row r="1962">
      <c r="A1962" s="19" t="n"/>
      <c r="B1962" s="19" t="n"/>
      <c r="C1962" s="19" t="n"/>
      <c r="D1962" s="19" t="n"/>
      <c r="E1962" s="19" t="n"/>
    </row>
    <row r="1963">
      <c r="A1963" s="19" t="n"/>
      <c r="B1963" s="19" t="n"/>
      <c r="C1963" s="19" t="n"/>
      <c r="D1963" s="19" t="n"/>
      <c r="E1963" s="19" t="n"/>
    </row>
    <row r="1964">
      <c r="A1964" s="19" t="n"/>
      <c r="B1964" s="19" t="n"/>
      <c r="C1964" s="19" t="n"/>
      <c r="D1964" s="19" t="n"/>
      <c r="E1964" s="19" t="n"/>
    </row>
    <row r="1965">
      <c r="A1965" s="19" t="n"/>
      <c r="B1965" s="19" t="n"/>
      <c r="C1965" s="19" t="n"/>
      <c r="D1965" s="19" t="n"/>
      <c r="E1965" s="19" t="n"/>
    </row>
    <row r="1966">
      <c r="A1966" s="19" t="n"/>
      <c r="B1966" s="19" t="n"/>
      <c r="C1966" s="19" t="n"/>
      <c r="D1966" s="19" t="n"/>
      <c r="E1966" s="19" t="n"/>
    </row>
    <row r="1967">
      <c r="A1967" s="19" t="n"/>
      <c r="B1967" s="19" t="n"/>
      <c r="C1967" s="19" t="n"/>
      <c r="D1967" s="19" t="n"/>
      <c r="E1967" s="19" t="n"/>
    </row>
    <row r="1968">
      <c r="A1968" s="19" t="n"/>
      <c r="B1968" s="19" t="n"/>
      <c r="C1968" s="19" t="n"/>
      <c r="D1968" s="19" t="n"/>
      <c r="E1968" s="19" t="n"/>
    </row>
    <row r="1969">
      <c r="A1969" s="19" t="n"/>
      <c r="B1969" s="19" t="n"/>
      <c r="C1969" s="19" t="n"/>
      <c r="D1969" s="19" t="n"/>
      <c r="E1969" s="19" t="n"/>
    </row>
    <row r="1970">
      <c r="A1970" s="19" t="n"/>
      <c r="B1970" s="19" t="n"/>
      <c r="C1970" s="19" t="n"/>
      <c r="D1970" s="19" t="n"/>
      <c r="E1970" s="19" t="n"/>
    </row>
    <row r="1971">
      <c r="A1971" s="19" t="n"/>
      <c r="B1971" s="19" t="n"/>
      <c r="C1971" s="19" t="n"/>
      <c r="D1971" s="19" t="n"/>
      <c r="E1971" s="19" t="n"/>
    </row>
    <row r="1972">
      <c r="A1972" s="19" t="n"/>
      <c r="B1972" s="19" t="n"/>
      <c r="C1972" s="19" t="n"/>
      <c r="D1972" s="19" t="n"/>
      <c r="E1972" s="19" t="n"/>
    </row>
    <row r="1973">
      <c r="A1973" s="19" t="n"/>
      <c r="B1973" s="19" t="n"/>
      <c r="C1973" s="19" t="n"/>
      <c r="D1973" s="19" t="n"/>
      <c r="E1973" s="19" t="n"/>
    </row>
    <row r="1974">
      <c r="A1974" s="19" t="n"/>
      <c r="B1974" s="19" t="n"/>
      <c r="C1974" s="19" t="n"/>
      <c r="D1974" s="19" t="n"/>
      <c r="E1974" s="19" t="n"/>
    </row>
    <row r="1975">
      <c r="A1975" s="19" t="n"/>
      <c r="B1975" s="19" t="n"/>
      <c r="C1975" s="19" t="n"/>
      <c r="D1975" s="19" t="n"/>
      <c r="E1975" s="19" t="n"/>
    </row>
    <row r="1976">
      <c r="A1976" s="19" t="n"/>
      <c r="B1976" s="19" t="n"/>
      <c r="C1976" s="19" t="n"/>
      <c r="D1976" s="19" t="n"/>
      <c r="E1976" s="19" t="n"/>
    </row>
    <row r="1977">
      <c r="A1977" s="19" t="n"/>
      <c r="B1977" s="19" t="n"/>
      <c r="C1977" s="19" t="n"/>
      <c r="D1977" s="19" t="n"/>
      <c r="E1977" s="19" t="n"/>
    </row>
    <row r="1978">
      <c r="A1978" s="19" t="n"/>
      <c r="B1978" s="19" t="n"/>
      <c r="C1978" s="19" t="n"/>
      <c r="D1978" s="19" t="n"/>
      <c r="E1978" s="19" t="n"/>
    </row>
    <row r="1979">
      <c r="A1979" s="19" t="n"/>
      <c r="B1979" s="19" t="n"/>
      <c r="C1979" s="19" t="n"/>
      <c r="D1979" s="19" t="n"/>
      <c r="E1979" s="19" t="n"/>
    </row>
    <row r="1980">
      <c r="A1980" s="19" t="n"/>
      <c r="B1980" s="19" t="n"/>
      <c r="C1980" s="19" t="n"/>
      <c r="D1980" s="19" t="n"/>
      <c r="E1980" s="19" t="n"/>
    </row>
    <row r="1981">
      <c r="A1981" s="19" t="n"/>
      <c r="B1981" s="19" t="n"/>
      <c r="C1981" s="19" t="n"/>
      <c r="D1981" s="19" t="n"/>
      <c r="E1981" s="19" t="n"/>
    </row>
    <row r="1982">
      <c r="A1982" s="19" t="n"/>
      <c r="B1982" s="19" t="n"/>
      <c r="C1982" s="19" t="n"/>
      <c r="D1982" s="19" t="n"/>
      <c r="E1982" s="19" t="n"/>
    </row>
    <row r="1983">
      <c r="A1983" s="19" t="n"/>
      <c r="B1983" s="19" t="n"/>
      <c r="C1983" s="19" t="n"/>
      <c r="D1983" s="19" t="n"/>
      <c r="E1983" s="19" t="n"/>
    </row>
    <row r="1984">
      <c r="A1984" s="19" t="n"/>
      <c r="B1984" s="19" t="n"/>
      <c r="C1984" s="19" t="n"/>
      <c r="D1984" s="19" t="n"/>
      <c r="E1984" s="19" t="n"/>
    </row>
    <row r="1985">
      <c r="A1985" s="19" t="n"/>
      <c r="B1985" s="19" t="n"/>
      <c r="C1985" s="19" t="n"/>
      <c r="D1985" s="19" t="n"/>
      <c r="E1985" s="19" t="n"/>
    </row>
    <row r="1986">
      <c r="A1986" s="19" t="n"/>
      <c r="B1986" s="19" t="n"/>
      <c r="C1986" s="19" t="n"/>
      <c r="D1986" s="19" t="n"/>
      <c r="E1986" s="19" t="n"/>
    </row>
    <row r="1987">
      <c r="A1987" s="19" t="n"/>
      <c r="B1987" s="19" t="n"/>
      <c r="C1987" s="19" t="n"/>
      <c r="D1987" s="19" t="n"/>
      <c r="E1987" s="19" t="n"/>
    </row>
    <row r="1988">
      <c r="A1988" s="19" t="n"/>
      <c r="B1988" s="19" t="n"/>
      <c r="C1988" s="19" t="n"/>
      <c r="D1988" s="19" t="n"/>
      <c r="E1988" s="19" t="n"/>
    </row>
    <row r="1989">
      <c r="A1989" s="19" t="n"/>
      <c r="B1989" s="19" t="n"/>
      <c r="C1989" s="19" t="n"/>
      <c r="D1989" s="19" t="n"/>
      <c r="E1989" s="19" t="n"/>
    </row>
    <row r="1990">
      <c r="A1990" s="19" t="n"/>
      <c r="B1990" s="19" t="n"/>
      <c r="C1990" s="19" t="n"/>
      <c r="D1990" s="19" t="n"/>
      <c r="E1990" s="19" t="n"/>
    </row>
    <row r="1991">
      <c r="A1991" s="19" t="n"/>
      <c r="B1991" s="19" t="n"/>
      <c r="C1991" s="19" t="n"/>
      <c r="D1991" s="19" t="n"/>
      <c r="E1991" s="19" t="n"/>
    </row>
    <row r="1992">
      <c r="A1992" s="19" t="n"/>
      <c r="B1992" s="19" t="n"/>
      <c r="C1992" s="19" t="n"/>
      <c r="D1992" s="19" t="n"/>
      <c r="E1992" s="19" t="n"/>
    </row>
    <row r="1993">
      <c r="A1993" s="19" t="n"/>
      <c r="B1993" s="19" t="n"/>
      <c r="C1993" s="19" t="n"/>
      <c r="D1993" s="19" t="n"/>
      <c r="E1993" s="19" t="n"/>
    </row>
    <row r="1994">
      <c r="A1994" s="19" t="n"/>
      <c r="B1994" s="19" t="n"/>
      <c r="C1994" s="19" t="n"/>
      <c r="D1994" s="19" t="n"/>
      <c r="E1994" s="19" t="n"/>
    </row>
    <row r="1995">
      <c r="A1995" s="19" t="n"/>
      <c r="B1995" s="19" t="n"/>
      <c r="C1995" s="19" t="n"/>
      <c r="D1995" s="19" t="n"/>
      <c r="E1995" s="19" t="n"/>
    </row>
    <row r="1996">
      <c r="A1996" s="19" t="n"/>
      <c r="B1996" s="19" t="n"/>
      <c r="C1996" s="19" t="n"/>
      <c r="D1996" s="19" t="n"/>
      <c r="E1996" s="19" t="n"/>
    </row>
    <row r="1997">
      <c r="A1997" s="19" t="n"/>
      <c r="B1997" s="19" t="n"/>
      <c r="C1997" s="19" t="n"/>
      <c r="D1997" s="19" t="n"/>
      <c r="E1997" s="19" t="n"/>
    </row>
    <row r="1998">
      <c r="A1998" s="19" t="n"/>
      <c r="B1998" s="19" t="n"/>
      <c r="C1998" s="19" t="n"/>
      <c r="D1998" s="19" t="n"/>
      <c r="E1998" s="19" t="n"/>
    </row>
    <row r="1999">
      <c r="A1999" s="19" t="n"/>
      <c r="B1999" s="19" t="n"/>
      <c r="C1999" s="19" t="n"/>
      <c r="D1999" s="19" t="n"/>
      <c r="E1999" s="19" t="n"/>
    </row>
    <row r="2000">
      <c r="A2000" s="19" t="n"/>
      <c r="B2000" s="19" t="n"/>
      <c r="C2000" s="19" t="n"/>
      <c r="D2000" s="19" t="n"/>
      <c r="E2000" s="19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 password="CE4B"/>
  <dataValidations count="2">
    <dataValidation sqref="C5:C2000" showDropDown="0" showInputMessage="0" showErrorMessage="1" allowBlank="1" errorTitle="Invalid value" error="Value not in list" type="list">
      <formula1>=lstLocationType</formula1>
    </dataValidation>
    <dataValidation sqref="E5:E2000" showDropDown="0" showInputMessage="0" showErrorMessage="1" allowBlank="1" errorTitle="Invalid value" error="Value not in list" type="list">
      <formula1>=lstBool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8909C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6" customWidth="1" min="3" max="3"/>
    <col width="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Settings &amp; Controlled Lists</t>
        </is>
      </c>
    </row>
    <row r="2">
      <c r="A2" s="2" t="inlineStr">
        <is>
          <t>Constants, statuses, transaction types, expiry classes. Read-mostly — protect this sheet.</t>
        </is>
      </c>
    </row>
    <row r="3"/>
    <row r="4">
      <c r="A4" s="3" t="inlineStr">
        <is>
          <t>tblSettings — configurable constants</t>
        </is>
      </c>
      <c r="H4" t="inlineStr">
        <is>
          <t>Consumable</t>
        </is>
      </c>
    </row>
    <row r="5">
      <c r="A5" s="6" t="inlineStr">
        <is>
          <t>SettingKey</t>
        </is>
      </c>
      <c r="B5" s="6" t="inlineStr">
        <is>
          <t>SettingValue</t>
        </is>
      </c>
      <c r="C5" s="6" t="inlineStr">
        <is>
          <t>Description</t>
        </is>
      </c>
      <c r="H5" t="inlineStr">
        <is>
          <t>Chemical</t>
        </is>
      </c>
    </row>
    <row r="6">
      <c r="A6" t="inlineStr">
        <is>
          <t>ExpiryWarningDays30</t>
        </is>
      </c>
      <c r="B6" t="inlineStr">
        <is>
          <t>30</t>
        </is>
      </c>
      <c r="C6" t="inlineStr">
        <is>
          <t>Expiry warning band: days until expiry to flag (30)</t>
        </is>
      </c>
      <c r="H6" t="inlineStr">
        <is>
          <t>Reagent</t>
        </is>
      </c>
    </row>
    <row r="7">
      <c r="A7" t="inlineStr">
        <is>
          <t>ExpiryWarningDays60</t>
        </is>
      </c>
      <c r="B7" t="inlineStr">
        <is>
          <t>60</t>
        </is>
      </c>
      <c r="C7" t="inlineStr">
        <is>
          <t>Expiry warning band: days until expiry to flag (60)</t>
        </is>
      </c>
    </row>
    <row r="8">
      <c r="A8" t="inlineStr">
        <is>
          <t>ExpiryWarningDays90</t>
        </is>
      </c>
      <c r="B8" t="inlineStr">
        <is>
          <t>90</t>
        </is>
      </c>
      <c r="C8" t="inlineStr">
        <is>
          <t>Expiry warning band: days until expiry to flag (90)</t>
        </is>
      </c>
      <c r="H8" t="inlineStr">
        <is>
          <t>General</t>
        </is>
      </c>
    </row>
    <row r="9">
      <c r="A9" t="inlineStr">
        <is>
          <t>DefaultLocationID</t>
        </is>
      </c>
      <c r="B9" t="inlineStr">
        <is>
          <t>LOC0001</t>
        </is>
      </c>
      <c r="C9" t="inlineStr">
        <is>
          <t>Default storage location for new containers</t>
        </is>
      </c>
      <c r="H9" t="inlineStr">
        <is>
          <t>Pipette Tips</t>
        </is>
      </c>
    </row>
    <row r="10">
      <c r="A10" t="inlineStr">
        <is>
          <t>DefaultStatusNewContainers</t>
        </is>
      </c>
      <c r="B10" t="inlineStr">
        <is>
          <t>Available</t>
        </is>
      </c>
      <c r="C10" t="inlineStr">
        <is>
          <t>Status assigned to newly received containers</t>
        </is>
      </c>
      <c r="H10" t="inlineStr">
        <is>
          <t>Tubes</t>
        </is>
      </c>
    </row>
    <row r="11">
      <c r="A11" t="inlineStr">
        <is>
          <t>ScannerEnterSuffix</t>
        </is>
      </c>
      <c r="B11" t="inlineStr">
        <is>
          <t>TRUE</t>
        </is>
      </c>
      <c r="C11" t="inlineStr">
        <is>
          <t>Barcode scanner configured to send Enter suffix</t>
        </is>
      </c>
      <c r="H11" t="inlineStr">
        <is>
          <t>Solvent</t>
        </is>
      </c>
    </row>
    <row r="12">
      <c r="A12" t="inlineStr">
        <is>
          <t>WorkbookVersion</t>
        </is>
      </c>
      <c r="B12" t="inlineStr">
        <is>
          <t>v0.1</t>
        </is>
      </c>
      <c r="C12" t="inlineStr">
        <is>
          <t>Workbook version label</t>
        </is>
      </c>
      <c r="H12" t="inlineStr">
        <is>
          <t>Reagent</t>
        </is>
      </c>
    </row>
    <row r="13">
      <c r="A13" s="7" t="inlineStr">
        <is>
          <t>Settings table (7 keys): expiry bands 30/60/90 days, default location, default new status, scanner Enter suffix, version.</t>
        </is>
      </c>
      <c r="H13" t="inlineStr">
        <is>
          <t>Consumable</t>
        </is>
      </c>
    </row>
    <row r="14">
      <c r="G14" s="23" t="inlineStr">
        <is>
          <t>LocationType</t>
        </is>
      </c>
    </row>
    <row r="15">
      <c r="A15" s="3" t="inlineStr">
        <is>
          <t>tblStatusList</t>
        </is>
      </c>
      <c r="H15" t="inlineStr">
        <is>
          <t>Cabinet</t>
        </is>
      </c>
    </row>
    <row r="16">
      <c r="A16" s="6" t="inlineStr">
        <is>
          <t>StatusValue</t>
        </is>
      </c>
      <c r="B16" s="6" t="inlineStr">
        <is>
          <t>Label</t>
        </is>
      </c>
      <c r="H16" t="inlineStr">
        <is>
          <t>Shelf</t>
        </is>
      </c>
    </row>
    <row r="17">
      <c r="A17" t="inlineStr">
        <is>
          <t>Available</t>
        </is>
      </c>
      <c r="B17" t="inlineStr">
        <is>
          <t>In storage, usable</t>
        </is>
      </c>
      <c r="H17" t="inlineStr">
        <is>
          <t>Fridge</t>
        </is>
      </c>
    </row>
    <row r="18">
      <c r="A18" t="inlineStr">
        <is>
          <t>InUse</t>
        </is>
      </c>
      <c r="B18" t="inlineStr">
        <is>
          <t>Taken/opened, out of storage</t>
        </is>
      </c>
      <c r="H18" t="inlineStr">
        <is>
          <t>Freezer</t>
        </is>
      </c>
    </row>
    <row r="19">
      <c r="A19" t="inlineStr">
        <is>
          <t>Expired</t>
        </is>
      </c>
      <c r="B19" t="inlineStr">
        <is>
          <t>Past expiry, unusable</t>
        </is>
      </c>
      <c r="H19" t="inlineStr">
        <is>
          <t>Room</t>
        </is>
      </c>
    </row>
    <row r="20">
      <c r="A20" t="inlineStr">
        <is>
          <t>Damaged</t>
        </is>
      </c>
      <c r="B20" t="inlineStr">
        <is>
          <t>Physically unusable</t>
        </is>
      </c>
      <c r="H20" t="inlineStr">
        <is>
          <t>Other</t>
        </is>
      </c>
    </row>
    <row r="21">
      <c r="A21" t="inlineStr">
        <is>
          <t>Disposed</t>
        </is>
      </c>
      <c r="B21" t="inlineStr">
        <is>
          <t>Removed from inventory</t>
        </is>
      </c>
      <c r="G21" s="23" t="inlineStr">
        <is>
          <t>DisposalReason</t>
        </is>
      </c>
    </row>
    <row r="22">
      <c r="A22" t="inlineStr">
        <is>
          <t>Missing</t>
        </is>
      </c>
      <c r="B22" t="inlineStr">
        <is>
          <t>Cannot be located</t>
        </is>
      </c>
      <c r="H22" t="inlineStr">
        <is>
          <t>Used Up</t>
        </is>
      </c>
    </row>
    <row r="23">
      <c r="H23" t="inlineStr">
        <is>
          <t>Expired</t>
        </is>
      </c>
    </row>
    <row r="24">
      <c r="A24" s="3" t="inlineStr">
        <is>
          <t>tblTransactionTypeList</t>
        </is>
      </c>
      <c r="H24" t="inlineStr">
        <is>
          <t>Damaged</t>
        </is>
      </c>
    </row>
    <row r="25">
      <c r="A25" s="6" t="inlineStr">
        <is>
          <t>TransactionTypeValue</t>
        </is>
      </c>
      <c r="B25" s="6" t="inlineStr">
        <is>
          <t>Label</t>
        </is>
      </c>
      <c r="H25" t="inlineStr">
        <is>
          <t>Missing</t>
        </is>
      </c>
    </row>
    <row r="26">
      <c r="A26" t="inlineStr">
        <is>
          <t>Receive</t>
        </is>
      </c>
      <c r="B26" t="inlineStr">
        <is>
          <t>Create/activate a container</t>
        </is>
      </c>
      <c r="H26" t="inlineStr">
        <is>
          <t>Other</t>
        </is>
      </c>
    </row>
    <row r="27">
      <c r="A27" t="inlineStr">
        <is>
          <t>TakeOpen</t>
        </is>
      </c>
      <c r="B27" t="inlineStr">
        <is>
          <t>Take from storage / open</t>
        </is>
      </c>
      <c r="G27" s="23" t="inlineStr">
        <is>
          <t>TransactionReason</t>
        </is>
      </c>
    </row>
    <row r="28">
      <c r="A28" t="inlineStr">
        <is>
          <t>Return</t>
        </is>
      </c>
      <c r="B28" t="inlineStr">
        <is>
          <t>Return to storage</t>
        </is>
      </c>
      <c r="H28" t="inlineStr">
        <is>
          <t>Used Up</t>
        </is>
      </c>
    </row>
    <row r="29">
      <c r="A29" t="inlineStr">
        <is>
          <t>Transfer</t>
        </is>
      </c>
      <c r="B29" t="inlineStr">
        <is>
          <t>Change storage location</t>
        </is>
      </c>
      <c r="H29" t="inlineStr">
        <is>
          <t>Expired</t>
        </is>
      </c>
    </row>
    <row r="30">
      <c r="A30" t="inlineStr">
        <is>
          <t>Dispose</t>
        </is>
      </c>
      <c r="B30" t="inlineStr">
        <is>
          <t>Remove from inventory</t>
        </is>
      </c>
      <c r="H30" t="inlineStr">
        <is>
          <t>Damaged</t>
        </is>
      </c>
    </row>
    <row r="31">
      <c r="A31" t="inlineStr">
        <is>
          <t>MarkExpired</t>
        </is>
      </c>
      <c r="B31" t="inlineStr">
        <is>
          <t>Mark as expired</t>
        </is>
      </c>
      <c r="H31" t="inlineStr">
        <is>
          <t>Missing</t>
        </is>
      </c>
    </row>
    <row r="32">
      <c r="A32" t="inlineStr">
        <is>
          <t>MarkDamaged</t>
        </is>
      </c>
      <c r="B32" t="inlineStr">
        <is>
          <t>Mark as damaged</t>
        </is>
      </c>
      <c r="H32" t="inlineStr">
        <is>
          <t>Correction</t>
        </is>
      </c>
    </row>
    <row r="33">
      <c r="A33" t="inlineStr">
        <is>
          <t>MarkMissing</t>
        </is>
      </c>
      <c r="B33" t="inlineStr">
        <is>
          <t>Mark as missing/lost</t>
        </is>
      </c>
      <c r="H33" t="inlineStr">
        <is>
          <t>Other</t>
        </is>
      </c>
    </row>
    <row r="34">
      <c r="A34" t="inlineStr">
        <is>
          <t>Adjustment</t>
        </is>
      </c>
      <c r="B34" t="inlineStr">
        <is>
          <t>Correction/reversal (compensating)</t>
        </is>
      </c>
      <c r="G34" s="23" t="inlineStr">
        <is>
          <t>Bool</t>
        </is>
      </c>
    </row>
    <row r="35">
      <c r="H35" t="inlineStr">
        <is>
          <t>TRUE</t>
        </is>
      </c>
    </row>
    <row r="36">
      <c r="A36" s="3" t="inlineStr">
        <is>
          <t>tblExpiryClassList</t>
        </is>
      </c>
      <c r="H36" t="inlineStr">
        <is>
          <t>FALSE</t>
        </is>
      </c>
    </row>
    <row r="37">
      <c r="A37" s="6" t="inlineStr">
        <is>
          <t>ExpiryClassValue</t>
        </is>
      </c>
      <c r="B37" s="6" t="inlineStr">
        <is>
          <t>Label</t>
        </is>
      </c>
    </row>
    <row r="38">
      <c r="A38" t="inlineStr">
        <is>
          <t>Expired</t>
        </is>
      </c>
      <c r="B38" t="inlineStr">
        <is>
          <t>Date &lt; today</t>
        </is>
      </c>
    </row>
    <row r="39">
      <c r="A39" t="inlineStr">
        <is>
          <t>ExpiringSoon</t>
        </is>
      </c>
      <c r="B39" t="inlineStr">
        <is>
          <t>Within warning band (30/60/90)</t>
        </is>
      </c>
    </row>
    <row r="40">
      <c r="A40" t="inlineStr">
        <is>
          <t>Valid</t>
        </is>
      </c>
      <c r="B40" t="inlineStr">
        <is>
          <t>Beyond warning band</t>
        </is>
      </c>
    </row>
    <row r="41">
      <c r="A41" t="inlineStr">
        <is>
          <t>NoExpiry</t>
        </is>
      </c>
      <c r="B41" t="inlineStr">
        <is>
          <t>No expiry date set</t>
        </is>
      </c>
    </row>
    <row r="42">
      <c r="A42" t="inlineStr">
        <is>
          <t>Invalid</t>
        </is>
      </c>
      <c r="B42" t="inlineStr">
        <is>
          <t>Date error</t>
        </is>
      </c>
    </row>
    <row r="43"/>
    <row r="45">
      <c r="A45" s="3" t="inlineStr">
        <is>
          <t>Inline list sources (named ranges lst*):</t>
        </is>
      </c>
      <c r="G45" s="23" t="inlineStr">
        <is>
          <t>ProductType</t>
        </is>
      </c>
      <c r="H45" s="23" t="inlineStr">
        <is>
          <t>Category</t>
        </is>
      </c>
    </row>
    <row r="46">
      <c r="A46" s="7" t="inlineStr">
        <is>
          <t>Protection: this sheet is locked (read-mostly). Change constants only after unprotecting.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0" formatRows="1" sort="1" password="CE4B"/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2026-08-17T19:19:03Z</dcterms:created>
  <dcterms:modified xmlns:dcterms="http://purl.org/dc/terms/" xmlns:xsi="http://www.w3.org/2001/XMLSchema-instance" xsi:type="dcterms:W3CDTF">2026-08-17T19:19:05Z</dcterms:modified>
</cp:coreProperties>
</file>