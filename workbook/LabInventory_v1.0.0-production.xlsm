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workbook\"/>
    </mc:Choice>
  </mc:AlternateContent>
  <xr:revisionPtr revIDLastSave="0" documentId="8_{2E4E4AFF-5647-4DE9-8A7C-3799DF66F17B}" xr6:coauthVersionLast="47" xr6:coauthVersionMax="47" xr10:uidLastSave="{00000000-0000-0000-0000-000000000000}"/>
  <workbookProtection lockStructure="1"/>
  <bookViews>
    <workbookView xWindow="2730" yWindow="2730" windowWidth="11160" windowHeight="20055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26" i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E23" i="2"/>
  <c r="E17" i="2"/>
  <c r="P13" i="2"/>
  <c r="O13" i="2"/>
  <c r="M13" i="2"/>
  <c r="L13" i="2"/>
  <c r="J13" i="2"/>
  <c r="K13" i="2" s="1"/>
  <c r="I13" i="2"/>
  <c r="N13" i="2" s="1"/>
  <c r="H13" i="2"/>
  <c r="F13" i="2"/>
  <c r="E13" i="2"/>
  <c r="D13" i="2"/>
  <c r="E28" i="2" s="1"/>
  <c r="D9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E27" i="1"/>
  <c r="D27" i="1"/>
  <c r="B27" i="1"/>
  <c r="E26" i="1"/>
  <c r="D26" i="1"/>
  <c r="C26" i="1"/>
  <c r="B26" i="1"/>
  <c r="E25" i="1"/>
  <c r="D25" i="1"/>
  <c r="B25" i="1"/>
  <c r="E24" i="1"/>
  <c r="D24" i="1"/>
  <c r="B24" i="1"/>
  <c r="E23" i="1"/>
  <c r="D23" i="1"/>
  <c r="B23" i="1"/>
  <c r="E22" i="1"/>
  <c r="D22" i="1"/>
  <c r="B22" i="1"/>
  <c r="C17" i="1"/>
  <c r="C16" i="1"/>
  <c r="C15" i="1"/>
  <c r="C11" i="1"/>
  <c r="C10" i="1"/>
  <c r="C9" i="1"/>
  <c r="C8" i="1"/>
  <c r="C7" i="1"/>
  <c r="C6" i="1"/>
  <c r="C5" i="1"/>
  <c r="E29" i="2" l="1"/>
  <c r="C22" i="1"/>
  <c r="C35" i="1"/>
  <c r="C39" i="1"/>
  <c r="C23" i="1"/>
  <c r="C25" i="1"/>
  <c r="C37" i="1"/>
  <c r="C34" i="1"/>
  <c r="C24" i="1"/>
  <c r="E21" i="2"/>
  <c r="C27" i="1"/>
  <c r="C36" i="1"/>
  <c r="E16" i="2"/>
  <c r="E22" i="2"/>
  <c r="F25" i="1"/>
  <c r="C38" i="1"/>
  <c r="G13" i="2"/>
  <c r="E18" i="2"/>
  <c r="E24" i="2"/>
  <c r="F23" i="1"/>
  <c r="E19" i="2"/>
  <c r="E25" i="2"/>
  <c r="C12" i="1"/>
  <c r="E20" i="2"/>
  <c r="F24" i="1" l="1"/>
  <c r="F22" i="1"/>
  <c r="C14" i="1"/>
  <c r="C13" i="1"/>
</calcChain>
</file>

<file path=xl/sharedStrings.xml><?xml version="1.0" encoding="utf-8"?>
<sst xmlns="http://schemas.openxmlformats.org/spreadsheetml/2006/main" count="295" uniqueCount="229">
  <si>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</si>
  <si>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</si>
  <si>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</si>
  <si>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</si>
  <si>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</si>
  <si>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</si>
  <si>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</si>
  <si>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</si>
  <si>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</si>
  <si>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</si>
  <si>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</si>
  <si>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</si>
  <si>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</si>
  <si>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</si>
  <si>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</si>
  <si>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</si>
  <si>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</si>
  <si>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</si>
  <si>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</si>
  <si>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</si>
  <si>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</si>
  <si>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</si>
  <si>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</si>
  <si>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</si>
  <si>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</si>
  <si>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</si>
  <si>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</si>
  <si>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</si>
  <si>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</si>
  <si>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</si>
  <si>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</si>
  <si>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</si>
  <si>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</si>
  <si>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</si>
  <si>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</si>
  <si>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</si>
  <si>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</si>
  <si>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</si>
  <si>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</si>
  <si>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</si>
  <si>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</si>
  <si>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</si>
  <si>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</si>
  <si>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</si>
  <si>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</si>
  <si>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</si>
  <si>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</si>
  <si>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</si>
  <si>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</si>
  <si>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</si>
  <si>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</si>
  <si>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</si>
  <si>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</si>
  <si>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</si>
  <si>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</si>
  <si>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</si>
  <si>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</si>
  <si>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</si>
  <si>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</si>
  <si>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</si>
  <si>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</si>
  <si>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</si>
  <si>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</si>
  <si>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</si>
  <si>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</si>
  <si>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</si>
  <si>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</si>
  <si>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</si>
  <si>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</si>
  <si>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</si>
  <si>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</si>
  <si>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</si>
  <si>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</si>
  <si>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</si>
  <si>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</si>
  <si>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</si>
  <si>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</si>
  <si>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</si>
  <si>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</si>
  <si>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</si>
  <si>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</si>
  <si>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</si>
  <si>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</si>
  <si>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</si>
  <si>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</si>
  <si>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</si>
  <si>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</si>
  <si>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</si>
  <si>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</si>
  <si>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</si>
  <si>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</si>
  <si>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</si>
  <si>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</si>
  <si>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</si>
  <si>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</si>
  <si>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</si>
  <si>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</si>
  <si>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</si>
  <si>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</si>
  <si>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</si>
  <si>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</si>
  <si>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</si>
  <si>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</si>
  <si>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</si>
  <si>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</si>
  <si>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</si>
  <si>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</si>
  <si>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</si>
  <si>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</si>
  <si>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</si>
  <si>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</si>
  <si>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</si>
  <si>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</si>
  <si>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Chemical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</si>
  <si>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</si>
  <si>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</si>
  <si>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</si>
  <si>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</si>
  <si>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</si>
  <si>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</si>
  <si>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</si>
  <si>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InUse</t>
  </si>
  <si>
    <t>LOC0001</t>
  </si>
  <si>
    <t>Expired</t>
  </si>
  <si>
    <t>Disposed</t>
  </si>
  <si>
    <t>Used Up</t>
  </si>
  <si>
    <t>Missing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</si>
  <si>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</si>
  <si>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</si>
  <si>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</si>
  <si>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</si>
  <si>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</si>
  <si>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</si>
  <si>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</si>
  <si>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</si>
  <si>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</si>
  <si>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</si>
  <si>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</si>
  <si>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</si>
  <si>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Receive</t>
  </si>
  <si>
    <t>TakeOpen</t>
  </si>
  <si>
    <t>Return</t>
  </si>
  <si>
    <t>MarkExpired</t>
  </si>
  <si>
    <t>Dispose</t>
  </si>
  <si>
    <t>Transfer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</si>
  <si>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</si>
  <si>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</si>
  <si>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</si>
  <si>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</si>
  <si>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</si>
  <si>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</si>
  <si>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</si>
  <si>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</si>
  <si>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</si>
  <si>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tblLocations</t>
  </si>
  <si>
    <t>Storage locations. StorageLocationID references from tblContainers.</t>
  </si>
  <si>
    <t>LocationType</t>
  </si>
  <si>
    <t>Description</t>
  </si>
  <si>
    <t>Cabinet</t>
  </si>
  <si>
    <t>Fridge</t>
  </si>
  <si>
    <t>Shelf</t>
  </si>
  <si>
    <t>Freezer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</si>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</sst>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</cellXfs>
  <cellStyles count="1">
    <cellStyle name="Normal" xfId="0" builtinId="0"/>
  </cellStyles>
  <dxfs count="9">
    <dxf>
      <fill>
        <patternFill patternType="solid">
          <fgColor rgb="FFF8D7DA"/>
        </patternFill>
      </fill>
    </dxf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/>
    <tableColumn id="5" xr3:uid="{00000000-0010-0000-0000-000005000000}" name="ContainerID"/>
    <tableColumn id="6" xr3:uid="{00000000-0010-0000-0000-000006000000}" name="ProductID"/>
    <tableColumn id="7" xr3:uid="{00000000-0010-0000-0000-000007000000}" name="ProductName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5" insertRow="1">
  <autoFilter ref="A4:U5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5" insertRow="1">
  <autoFilter ref="A4:O5" xr:uid="{00000000-0009-0000-0100-000004000000}"/>
  <tableColumns count="15">
    <tableColumn id="1" xr3:uid="{00000000-0010-0000-0300-000001000000}" name="ContainerID"/>
    <tableColumn id="2" xr3:uid="{00000000-0010-0000-0300-000002000000}" name="Barcode"/>
    <tableColumn id="3" xr3:uid="{00000000-0010-0000-0300-000003000000}" name="ProductID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5" insertRow="1">
  <autoFilter ref="A4:P5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5" insertRow="1">
  <autoFilter ref="A4:H5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5" insertRow="1">
  <autoFilter ref="A4:E5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tabSelected="1"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0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0</v>
      </c>
    </row>
    <row r="7" spans="1:3" x14ac:dyDescent="0.25">
      <c r="B7" s="4" t="s">
        <v>5</v>
      </c>
      <c r="C7" s="5">
        <f>COUNTIF(tblContainers[Status],"InUse")</f>
        <v>0</v>
      </c>
    </row>
    <row r="8" spans="1:3" x14ac:dyDescent="0.25">
      <c r="B8" s="4" t="s">
        <v>6</v>
      </c>
      <c r="C8" s="5">
        <f ca="1">COUNTIF(tblContainers[ExpiryDate],"&lt;"&amp;TODAY())</f>
        <v>0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>COUNTIFS(tblProducts[Active],TRUE,tblProducts[HelperAvailableStock],0)</f>
        <v>0</v>
      </c>
    </row>
    <row r="13" spans="1:3" x14ac:dyDescent="0.25">
      <c r="B13" s="4" t="s">
        <v>11</v>
      </c>
      <c r="C13" s="5">
        <f>COUNTIFS(tblProducts[Active],TRUE,tblProducts[HelperStockClass],"Reorder")</f>
        <v>0</v>
      </c>
    </row>
    <row r="14" spans="1:3" x14ac:dyDescent="0.25">
      <c r="B14" s="4" t="s">
        <v>12</v>
      </c>
      <c r="C14" s="5">
        <f>COUNTIFS(tblProducts[Active],TRUE,tblProducts[HelperStockClass],"Low")</f>
        <v>0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0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0</v>
      </c>
    </row>
    <row r="17" spans="2:6" x14ac:dyDescent="0.25">
      <c r="B17" s="4" t="s">
        <v>15</v>
      </c>
      <c r="C17" s="5">
        <f>COUNTIF(tblTransactions[TransactionType],"TakeOpen")</f>
        <v>0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/>
      </c>
      <c r="C22" s="5" t="str">
        <f>IF(INDEX(tblProducts[ProductID],1)="","",INDEX(tblProducts[HelperAvailableStock],1))</f>
        <v/>
      </c>
      <c r="D22" s="5" t="str">
        <f>IF(INDEX(tblProducts[ProductID],1)="","",INDEX(tblProducts[MinimumContainerStock],1))</f>
        <v/>
      </c>
      <c r="E22" s="5" t="str">
        <f>IF(INDEX(tblProducts[ProductID],1)="","",INDEX(tblProducts[TargetContainerStock],1))</f>
        <v/>
      </c>
      <c r="F22" s="5" t="str">
        <f>IF(INDEX(tblProducts[ProductID],1)="","",INDEX(tblProducts[HelperStockClass],1))</f>
        <v/>
      </c>
    </row>
    <row r="23" spans="2:6" x14ac:dyDescent="0.25">
      <c r="B23" s="5" t="e">
        <f>IF(INDEX(tblProducts[ProductID],2)="","",INDEX(tblProducts[ProductName],2))</f>
        <v>#REF!</v>
      </c>
      <c r="C23" s="5" t="e">
        <f>IF(INDEX(tblProducts[ProductID],2)="","",INDEX(tblProducts[HelperAvailableStock],2))</f>
        <v>#REF!</v>
      </c>
      <c r="D23" s="5" t="e">
        <f>IF(INDEX(tblProducts[ProductID],2)="","",INDEX(tblProducts[MinimumContainerStock],2))</f>
        <v>#REF!</v>
      </c>
      <c r="E23" s="5" t="e">
        <f>IF(INDEX(tblProducts[ProductID],2)="","",INDEX(tblProducts[TargetContainerStock],2))</f>
        <v>#REF!</v>
      </c>
      <c r="F23" s="5" t="e">
        <f>IF(INDEX(tblProducts[ProductID],2)="","",INDEX(tblProducts[HelperStockClass],2))</f>
        <v>#REF!</v>
      </c>
    </row>
    <row r="24" spans="2:6" x14ac:dyDescent="0.25">
      <c r="B24" s="5" t="e">
        <f>IF(INDEX(tblProducts[ProductID],3)="","",INDEX(tblProducts[ProductName],3))</f>
        <v>#REF!</v>
      </c>
      <c r="C24" s="5" t="e">
        <f>IF(INDEX(tblProducts[ProductID],3)="","",INDEX(tblProducts[HelperAvailableStock],3))</f>
        <v>#REF!</v>
      </c>
      <c r="D24" s="5" t="e">
        <f>IF(INDEX(tblProducts[ProductID],3)="","",INDEX(tblProducts[MinimumContainerStock],3))</f>
        <v>#REF!</v>
      </c>
      <c r="E24" s="5" t="e">
        <f>IF(INDEX(tblProducts[ProductID],3)="","",INDEX(tblProducts[TargetContainerStock],3))</f>
        <v>#REF!</v>
      </c>
      <c r="F24" s="5" t="e">
        <f>IF(INDEX(tblProducts[ProductID],3)="","",INDEX(tblProducts[HelperStockClass],3))</f>
        <v>#REF!</v>
      </c>
    </row>
    <row r="25" spans="2:6" x14ac:dyDescent="0.25">
      <c r="B25" s="5" t="e">
        <f>IF(INDEX(tblProducts[ProductID],4)="","",INDEX(tblProducts[ProductName],4))</f>
        <v>#REF!</v>
      </c>
      <c r="C25" s="5" t="e">
        <f>IF(INDEX(tblProducts[ProductID],4)="","",INDEX(tblProducts[HelperAvailableStock],4))</f>
        <v>#REF!</v>
      </c>
      <c r="D25" s="5" t="e">
        <f>IF(INDEX(tblProducts[ProductID],4)="","",INDEX(tblProducts[MinimumContainerStock],4))</f>
        <v>#REF!</v>
      </c>
      <c r="E25" s="5" t="e">
        <f>IF(INDEX(tblProducts[ProductID],4)="","",INDEX(tblProducts[TargetContainerStock],4))</f>
        <v>#REF!</v>
      </c>
      <c r="F25" s="5" t="e">
        <f>IF(INDEX(tblProducts[ProductID],4)="","",INDEX(tblProducts[HelperStockClass],4))</f>
        <v>#REF!</v>
      </c>
    </row>
    <row r="26" spans="2:6" x14ac:dyDescent="0.25">
      <c r="B26" s="5" t="e">
        <f>IF(INDEX(tblProducts[ProductID],5)="","",INDEX(tblProducts[ProductName],5))</f>
        <v>#REF!</v>
      </c>
      <c r="C26" s="5" t="e">
        <f>IF(INDEX(tblProducts[ProductID],5)="","",INDEX(tblProducts[HelperAvailableStock],5))</f>
        <v>#REF!</v>
      </c>
      <c r="D26" s="5" t="e">
        <f>IF(INDEX(tblProducts[ProductID],5)="","",INDEX(tblProducts[MinimumContainerStock],5))</f>
        <v>#REF!</v>
      </c>
      <c r="E26" s="5" t="e">
        <f>IF(INDEX(tblProducts[ProductID],5)="","",INDEX(tblProducts[TargetContainerStock],5))</f>
        <v>#REF!</v>
      </c>
      <c r="F26" s="5" t="e">
        <f>IF(INDEX(tblProducts[ProductID],5)="","",INDEX(tblProducts[HelperStockClass],5))</f>
        <v>#REF!</v>
      </c>
    </row>
    <row r="27" spans="2:6" x14ac:dyDescent="0.25">
      <c r="B27" s="5" t="e">
        <f>IF(INDEX(tblProducts[ProductID],6)="","",INDEX(tblProducts[ProductName],6))</f>
        <v>#REF!</v>
      </c>
      <c r="C27" s="5" t="e">
        <f>IF(INDEX(tblProducts[ProductID],6)="","",INDEX(tblProducts[HelperAvailableStock],6))</f>
        <v>#REF!</v>
      </c>
      <c r="D27" s="5" t="e">
        <f>IF(INDEX(tblProducts[ProductID],6)="","",INDEX(tblProducts[MinimumContainerStock],6))</f>
        <v>#REF!</v>
      </c>
      <c r="E27" s="5" t="e">
        <f>IF(INDEX(tblProducts[ProductID],6)="","",INDEX(tblProducts[TargetContainerStock],6))</f>
        <v>#REF!</v>
      </c>
      <c r="F27" s="5" t="e">
        <f>IF(INDEX(tblProducts[ProductID],6)="","",INDEX(tblProducts[HelperStockClass],6))</f>
        <v>#REF!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>SUMPRODUCT((tblProducts[Category]="Pipette Tips")*tblProducts[HelperAvailableStock])</f>
        <v>0</v>
      </c>
    </row>
    <row r="35" spans="2:3" x14ac:dyDescent="0.25">
      <c r="B35" s="4" t="s">
        <v>25</v>
      </c>
      <c r="C35" s="5">
        <f>SUMPRODUCT((tblProducts[Category]="Tubes")*tblProducts[HelperAvailableStock])</f>
        <v>0</v>
      </c>
    </row>
    <row r="36" spans="2:3" x14ac:dyDescent="0.25">
      <c r="B36" s="4" t="s">
        <v>26</v>
      </c>
      <c r="C36" s="5">
        <f>SUMPRODUCT((tblProducts[Category]="Solvent")*tblProducts[HelperAvailableStock])</f>
        <v>0</v>
      </c>
    </row>
    <row r="37" spans="2:3" x14ac:dyDescent="0.25">
      <c r="B37" s="4" t="s">
        <v>27</v>
      </c>
      <c r="C37" s="5">
        <f>SUMPRODUCT((tblProducts[Category]="Reagent")*tblProducts[HelperAvailableStock])</f>
        <v>0</v>
      </c>
    </row>
    <row r="38" spans="2:3" x14ac:dyDescent="0.25">
      <c r="B38" s="4" t="s">
        <v>28</v>
      </c>
      <c r="C38" s="5">
        <f>SUMPRODUCT((tblProducts[Category]="Consumable")*tblProducts[HelperAvailableStock])</f>
        <v>0</v>
      </c>
    </row>
    <row r="39" spans="2:3" x14ac:dyDescent="0.25">
      <c r="B39" s="4" t="s">
        <v>29</v>
      </c>
      <c r="C39" s="5">
        <f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/>
      </c>
      <c r="C43" s="5" t="str">
        <f>IF(INDEX(tblProducts[ProductID],1)="","",COUNTIFS(tblTransactions[ProductID],INDEX(tblProducts[ProductID],1),tblTransactions[TransactionType],"TakeOpen"))</f>
        <v/>
      </c>
    </row>
    <row r="44" spans="2:3" x14ac:dyDescent="0.25">
      <c r="B44" s="4" t="e">
        <f>IF(INDEX(tblProducts[ProductID],2)="","",INDEX(tblProducts[ProductName],2))</f>
        <v>#REF!</v>
      </c>
      <c r="C44" s="5" t="e">
        <f>IF(INDEX(tblProducts[ProductID],2)="","",COUNTIFS(tblTransactions[ProductID],INDEX(tblProducts[ProductID],2),tblTransactions[TransactionType],"TakeOpen"))</f>
        <v>#REF!</v>
      </c>
    </row>
    <row r="45" spans="2:3" x14ac:dyDescent="0.25">
      <c r="B45" s="4" t="e">
        <f>IF(INDEX(tblProducts[ProductID],3)="","",INDEX(tblProducts[ProductName],3))</f>
        <v>#REF!</v>
      </c>
      <c r="C45" s="5" t="e">
        <f>IF(INDEX(tblProducts[ProductID],3)="","",COUNTIFS(tblTransactions[ProductID],INDEX(tblProducts[ProductID],3),tblTransactions[TransactionType],"TakeOpen"))</f>
        <v>#REF!</v>
      </c>
    </row>
    <row r="46" spans="2:3" x14ac:dyDescent="0.25">
      <c r="B46" s="4" t="e">
        <f>IF(INDEX(tblProducts[ProductID],4)="","",INDEX(tblProducts[ProductName],4))</f>
        <v>#REF!</v>
      </c>
      <c r="C46" s="5" t="e">
        <f>IF(INDEX(tblProducts[ProductID],4)="","",COUNTIFS(tblTransactions[ProductID],INDEX(tblProducts[ProductID],4),tblTransactions[TransactionType],"TakeOpen"))</f>
        <v>#REF!</v>
      </c>
    </row>
    <row r="47" spans="2:3" x14ac:dyDescent="0.25">
      <c r="B47" s="4" t="e">
        <f>IF(INDEX(tblProducts[ProductID],5)="","",INDEX(tblProducts[ProductName],5))</f>
        <v>#REF!</v>
      </c>
      <c r="C47" s="5" t="e">
        <f>IF(INDEX(tblProducts[ProductID],5)="","",COUNTIFS(tblTransactions[ProductID],INDEX(tblProducts[ProductID],5),tblTransactions[TransactionType],"TakeOpen"))</f>
        <v>#REF!</v>
      </c>
    </row>
    <row r="48" spans="2:3" x14ac:dyDescent="0.25">
      <c r="B48" s="4" t="e">
        <f>IF(INDEX(tblProducts[ProductID],6)="","",INDEX(tblProducts[ProductName],6))</f>
        <v>#REF!</v>
      </c>
      <c r="C48" s="5" t="e">
        <f>IF(INDEX(tblProducts[ProductID],6)="","",COUNTIFS(tblTransactions[ProductID],INDEX(tblProducts[ProductID],6),tblTransactions[TransactionType],"TakeOpen"))</f>
        <v>#REF!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/>
      </c>
      <c r="C52" s="5" t="str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/>
      </c>
    </row>
    <row r="53" spans="2:3" x14ac:dyDescent="0.25">
      <c r="B53" s="4" t="e">
        <f>IF(INDEX(tblLocations[StorageLocationID],2)="","",INDEX(tblLocations[LocationName],2))</f>
        <v>#REF!</v>
      </c>
      <c r="C53" s="5" t="e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#REF!</v>
      </c>
    </row>
    <row r="54" spans="2:3" x14ac:dyDescent="0.25">
      <c r="B54" s="4" t="e">
        <f>IF(INDEX(tblLocations[StorageLocationID],3)="","",INDEX(tblLocations[LocationName],3))</f>
        <v>#REF!</v>
      </c>
      <c r="C54" s="5" t="e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#REF!</v>
      </c>
    </row>
    <row r="55" spans="2:3" x14ac:dyDescent="0.25">
      <c r="B55" s="4" t="e">
        <f>IF(INDEX(tblLocations[StorageLocationID],4)="","",INDEX(tblLocations[LocationName],4))</f>
        <v>#REF!</v>
      </c>
      <c r="C55" s="5" t="e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#REF!</v>
      </c>
    </row>
    <row r="56" spans="2:3" x14ac:dyDescent="0.25">
      <c r="B56" s="4" t="e">
        <f>IF(INDEX(tblLocations[StorageLocationID],5)="","",INDEX(tblLocations[LocationName],5))</f>
        <v>#REF!</v>
      </c>
      <c r="C56" s="5" t="e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#REF!</v>
      </c>
    </row>
    <row r="57" spans="2:3" x14ac:dyDescent="0.25">
      <c r="B57" s="4" t="e">
        <f>IF(INDEX(tblLocations[StorageLocationID],6)="","",INDEX(tblLocations[LocationName],6))</f>
        <v>#REF!</v>
      </c>
      <c r="C57" s="5" t="e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#REF!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tr">
        <f>IF($D$7="","EMPTY",IF(ISNA(MATCH($D$7,tblContainers[Barcode],0)),"UNKNOWN",IF(COUNTIF(tblContainers[Barcode],$D$7)&gt;1,"DUPLICATE","FOUND")))</f>
        <v>EMPTY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5" t="str">
        <f>IF($D$7="","",$D$7)</f>
        <v/>
      </c>
      <c r="E13" s="5" t="str">
        <f>IF($D$7="","",IF(ISNA(MATCH($D$7,tblContainers[Barcode],0)),"",INDEX(tblContainers[ContainerID],MATCH($D$7,tblContainers[Barcode],0))))</f>
        <v/>
      </c>
      <c r="F13" s="5" t="str">
        <f>IF($D$7="","",IF(ISNA(MATCH($D$7,tblContainers[Barcode],0)),"",INDEX(tblContainers[ProductID],MATCH($D$7,tblContainers[Barcode],0))))</f>
        <v/>
      </c>
      <c r="G13" s="5" t="str">
        <f>IF($D13="","",IF(ISNA(MATCH($F13,tblProducts[ProductID],0)),"",INDEX(tblProducts[ProductName],MATCH($F13,tblProducts[ProductID],0))))</f>
        <v/>
      </c>
      <c r="H13" s="5" t="str">
        <f>IF($D$7="","",IF(ISNA(MATCH($D$7,tblContainers[Barcode],0)),"",INDEX(tblContainers[BatchLotNumber],MATCH($D$7,tblContainers[Barcode],0))))</f>
        <v/>
      </c>
      <c r="I13" s="5" t="str">
        <f>IF($D$7="","",IF(ISNA(MATCH($D$7,tblContainers[Barcode],0)),"",INDEX(tblContainers[ExpiryDate],MATCH($D$7,tblContainers[Barcode],0))))</f>
        <v/>
      </c>
      <c r="J13" s="5" t="str">
        <f>IF($D$7="","",IF(ISNA(MATCH($D$7,tblContainers[Barcode],0)),"",INDEX(tblContainers[StorageLocationID],MATCH($D$7,tblContainers[Barcode],0))))</f>
        <v/>
      </c>
      <c r="K13" s="5" t="str">
        <f>IF($J13="","",IF(ISNA(MATCH($J13,tblLocations[StorageLocationID],0)),"",INDEX(tblLocations[LocationName],MATCH($J13,tblLocations[StorageLocationID],0))))</f>
        <v/>
      </c>
      <c r="L13" s="5" t="str">
        <f>IF($D$7="","",IF(ISNA(MATCH($D$7,tblContainers[Barcode],0)),"",INDEX(tblContainers[Status],MATCH($D$7,tblContainers[Barcode],0))))</f>
        <v/>
      </c>
      <c r="M13" s="5" t="str">
        <f>IF($D$7="","",IF(ISNA(MATCH($D$7,tblContainers[Barcode],0)),"",INDEX(tblContainers[OpenedDate],MATCH($D$7,tblContainers[Barcode],0))))</f>
        <v/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tr">
        <f>IF($D$7="","EMPTY",IF(ISNA(MATCH($D$7,tblContainers[Barcode],0)),"UNKNOWN",IF(COUNTIF(tblContainers[Barcode],$D$7)&gt;1,"DUPLICATE","FOUND")))</f>
        <v>EMPTY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/>
      </c>
    </row>
    <row r="17" spans="4:5" x14ac:dyDescent="0.25">
      <c r="D17" s="11" t="s">
        <v>40</v>
      </c>
      <c r="E17" s="5" t="str">
        <f>IF($D13="","",$D13)</f>
        <v/>
      </c>
    </row>
    <row r="18" spans="4:5" x14ac:dyDescent="0.25">
      <c r="D18" s="11" t="s">
        <v>17</v>
      </c>
      <c r="E18" s="5" t="str">
        <f>IF($D13="","",$G13)</f>
        <v/>
      </c>
    </row>
    <row r="19" spans="4:5" x14ac:dyDescent="0.25">
      <c r="D19" s="11" t="s">
        <v>55</v>
      </c>
      <c r="E19" s="5" t="str">
        <f>IF($D13="","",$H13)</f>
        <v/>
      </c>
    </row>
    <row r="20" spans="4:5" x14ac:dyDescent="0.25">
      <c r="D20" s="11" t="s">
        <v>48</v>
      </c>
      <c r="E20" s="5" t="str">
        <f>IF($D13="","",$L13)</f>
        <v/>
      </c>
    </row>
    <row r="21" spans="4:5" x14ac:dyDescent="0.25">
      <c r="D21" s="11" t="s">
        <v>33</v>
      </c>
      <c r="E21" s="5" t="str">
        <f>IF($D13="","",$K13)</f>
        <v/>
      </c>
    </row>
    <row r="22" spans="4:5" x14ac:dyDescent="0.25">
      <c r="D22" s="11" t="s">
        <v>56</v>
      </c>
      <c r="E22" s="5" t="str">
        <f>IF($D13="","",$I13)</f>
        <v/>
      </c>
    </row>
    <row r="23" spans="4:5" x14ac:dyDescent="0.25">
      <c r="D23" s="11" t="s">
        <v>57</v>
      </c>
      <c r="E23" s="5" t="str">
        <f>IF($D13="","",$N13)</f>
        <v/>
      </c>
    </row>
    <row r="24" spans="4:5" x14ac:dyDescent="0.25">
      <c r="D24" s="11" t="s">
        <v>58</v>
      </c>
      <c r="E24" s="5" t="str">
        <f>IF($D13="","",IF($M13="","No","Yes"))</f>
        <v/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/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Scan a barcode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formatCells="0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1995"/>
  <sheetViews>
    <sheetView workbookViewId="0">
      <selection activeCell="A5" sqref="A5"/>
    </sheetView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</row>
    <row r="6" spans="1:21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1:21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</row>
    <row r="8" spans="1:21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1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</row>
    <row r="10" spans="1:21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</sheetData>
  <sheetProtection sheet="1" objects="1" scenarios="1" selectLockedCells="1"/>
  <dataValidations count="4">
    <dataValidation type="list" allowBlank="1" showErrorMessage="1" errorTitle="Invalid value" error="Value not in list" sqref="E5:E1995" xr:uid="{00000000-0002-0000-0300-000000000000}">
      <formula1>lstProductType</formula1>
    </dataValidation>
    <dataValidation type="list" allowBlank="1" showErrorMessage="1" errorTitle="Invalid value" error="Value not in list" sqref="F5:F1995" xr:uid="{00000000-0002-0000-0300-000001000000}">
      <formula1>lstCategory</formula1>
    </dataValidation>
    <dataValidation type="list" allowBlank="1" showErrorMessage="1" errorTitle="Invalid value" error="Value not in list" sqref="R5:R1995" xr:uid="{00000000-0002-0000-0300-000002000000}">
      <formula1>lstBool</formula1>
    </dataValidation>
    <dataValidation type="list" allowBlank="1" showErrorMessage="1" errorTitle="Invalid value" error="Value not in list" sqref="K5:K1995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1980"/>
  <sheetViews>
    <sheetView workbookViewId="0">
      <selection activeCell="A5" sqref="A5"/>
    </sheetView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114</v>
      </c>
    </row>
    <row r="2" spans="1:15" x14ac:dyDescent="0.25">
      <c r="A2" s="2" t="s">
        <v>115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116</v>
      </c>
      <c r="H4" s="6" t="s">
        <v>46</v>
      </c>
      <c r="I4" s="6" t="s">
        <v>48</v>
      </c>
      <c r="J4" s="6" t="s">
        <v>49</v>
      </c>
      <c r="K4" s="6" t="s">
        <v>117</v>
      </c>
      <c r="L4" s="6" t="s">
        <v>118</v>
      </c>
      <c r="M4" s="6" t="s">
        <v>110</v>
      </c>
      <c r="N4" s="18" t="s">
        <v>119</v>
      </c>
      <c r="O4" s="18" t="s">
        <v>120</v>
      </c>
    </row>
    <row r="5" spans="1:15" x14ac:dyDescent="0.25">
      <c r="A5" s="19"/>
      <c r="B5" s="20"/>
      <c r="C5" s="19"/>
      <c r="D5" s="19"/>
      <c r="E5" s="21"/>
      <c r="F5" s="19"/>
      <c r="G5" s="21"/>
      <c r="H5" s="19"/>
      <c r="I5" s="19"/>
      <c r="J5" s="19"/>
      <c r="K5" s="19"/>
      <c r="L5" s="19"/>
      <c r="M5" s="19"/>
    </row>
    <row r="6" spans="1:15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</row>
    <row r="7" spans="1:15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</row>
    <row r="8" spans="1:15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</row>
    <row r="9" spans="1:1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</row>
    <row r="10" spans="1:15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</row>
    <row r="11" spans="1:15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</row>
    <row r="12" spans="1:15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</row>
    <row r="13" spans="1:15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</row>
    <row r="14" spans="1:15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</row>
    <row r="15" spans="1:15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</row>
    <row r="16" spans="1:15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</row>
    <row r="17" spans="1:13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</row>
    <row r="18" spans="1:13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</row>
    <row r="19" spans="1:13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</row>
    <row r="20" spans="1:13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</row>
    <row r="21" spans="1:13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</row>
    <row r="22" spans="1:13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</row>
    <row r="23" spans="1:13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</row>
    <row r="24" spans="1:13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</row>
    <row r="25" spans="1:13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</row>
    <row r="26" spans="1:13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3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3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3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3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3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3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</sheetData>
  <sheetProtection sheet="1" objects="1" scenarios="1" selectLockedCells="1"/>
  <conditionalFormatting sqref="E5:E1980">
    <cfRule type="expression" dxfId="5" priority="5">
      <formula>AND($E5&lt;&gt;"",$E5&lt;TODAY())</formula>
    </cfRule>
    <cfRule type="expression" dxfId="4" priority="6">
      <formula>AND($E5&lt;&gt;"",$E5&gt;=TODAY(),$E5&lt;=TODAY()+90)</formula>
    </cfRule>
  </conditionalFormatting>
  <conditionalFormatting sqref="I5:I1980">
    <cfRule type="expression" dxfId="3" priority="1">
      <formula>$I5="Available"</formula>
    </cfRule>
    <cfRule type="expression" dxfId="2" priority="2">
      <formula>$I5="Expired"</formula>
    </cfRule>
    <cfRule type="expression" dxfId="1" priority="3">
      <formula>OR($I5="Damaged",$I5="Missing",$I5="Disposed")</formula>
    </cfRule>
  </conditionalFormatting>
  <conditionalFormatting sqref="B5:B1980">
    <cfRule type="expression" dxfId="0" priority="121">
      <formula>COUNTIF($B$5:$B$1980,$B5)&gt;1</formula>
    </cfRule>
  </conditionalFormatting>
  <dataValidations count="4">
    <dataValidation type="list" allowBlank="1" showErrorMessage="1" errorTitle="Invalid value" error="Value not in list" sqref="I5:I1980" xr:uid="{00000000-0002-0000-0400-000000000000}">
      <formula1>lstStatusList</formula1>
    </dataValidation>
    <dataValidation type="list" allowBlank="1" showErrorMessage="1" errorTitle="Invalid value" error="Value not in list" sqref="L5:L1980" xr:uid="{00000000-0002-0000-0400-000001000000}">
      <formula1>lstDisposalReason</formula1>
    </dataValidation>
    <dataValidation type="list" allowBlank="1" showErrorMessage="1" errorTitle="Invalid value" error="Value not in list" sqref="C5:C1980" xr:uid="{00000000-0002-0000-0400-000002000000}">
      <formula1>lstProductsProductID</formula1>
    </dataValidation>
    <dataValidation type="list" allowBlank="1" showErrorMessage="1" errorTitle="Invalid value" error="Value not in list" sqref="H5:H198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1970"/>
  <sheetViews>
    <sheetView workbookViewId="0">
      <selection activeCell="A5" sqref="A5"/>
    </sheetView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127</v>
      </c>
    </row>
    <row r="2" spans="1:16" x14ac:dyDescent="0.25">
      <c r="A2" s="2" t="s">
        <v>128</v>
      </c>
    </row>
    <row r="4" spans="1:16" ht="30" x14ac:dyDescent="0.25">
      <c r="A4" s="6" t="s">
        <v>129</v>
      </c>
      <c r="B4" s="6" t="s">
        <v>130</v>
      </c>
      <c r="C4" s="6" t="s">
        <v>131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132</v>
      </c>
      <c r="I4" s="6" t="s">
        <v>133</v>
      </c>
      <c r="J4" s="6" t="s">
        <v>134</v>
      </c>
      <c r="K4" s="6" t="s">
        <v>135</v>
      </c>
      <c r="L4" s="6" t="s">
        <v>136</v>
      </c>
      <c r="M4" s="6" t="s">
        <v>44</v>
      </c>
      <c r="N4" s="6" t="s">
        <v>137</v>
      </c>
      <c r="O4" s="6" t="s">
        <v>138</v>
      </c>
      <c r="P4" s="6" t="s">
        <v>110</v>
      </c>
    </row>
    <row r="5" spans="1:16" x14ac:dyDescent="0.25">
      <c r="A5" s="19"/>
      <c r="B5" s="22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6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</row>
    <row r="7" spans="1:16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</row>
    <row r="8" spans="1:16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</row>
    <row r="9" spans="1:1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</row>
    <row r="10" spans="1:1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</row>
    <row r="11" spans="1:1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</row>
    <row r="12" spans="1:16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</row>
    <row r="13" spans="1:16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</row>
    <row r="14" spans="1:16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</row>
    <row r="15" spans="1:16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</row>
    <row r="16" spans="1:16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spans="1:16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</row>
    <row r="18" spans="1:16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</row>
    <row r="19" spans="1:16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</row>
    <row r="20" spans="1:16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</row>
    <row r="21" spans="1:16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</row>
    <row r="22" spans="1:16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</row>
    <row r="23" spans="1:16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</row>
    <row r="24" spans="1:16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</row>
    <row r="25" spans="1:16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</row>
    <row r="26" spans="1:16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</row>
    <row r="27" spans="1:16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</row>
    <row r="28" spans="1:16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</row>
    <row r="29" spans="1:16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</row>
    <row r="30" spans="1:16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</row>
    <row r="31" spans="1:16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</row>
    <row r="32" spans="1:16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</row>
    <row r="33" spans="1:16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</row>
    <row r="34" spans="1:16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</row>
    <row r="35" spans="1:16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</sheetData>
  <sheetProtection sheet="1" objects="1" scenarios="1" selectLockedCells="1"/>
  <dataValidations count="3">
    <dataValidation type="list" allowBlank="1" showErrorMessage="1" errorTitle="Invalid value" error="Value not in list" sqref="H5:H3970" xr:uid="{00000000-0002-0000-0500-000000000000}">
      <formula1>lstTransactionTypeList</formula1>
    </dataValidation>
    <dataValidation type="list" allowBlank="1" showErrorMessage="1" errorTitle="Invalid value" error="Value not in list" sqref="I5:J3970" xr:uid="{00000000-0002-0000-0500-000001000000}">
      <formula1>lstStatusList</formula1>
    </dataValidation>
    <dataValidation type="list" allowBlank="1" showErrorMessage="1" errorTitle="Invalid value" error="Value not in list" sqref="N5:N3970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1998"/>
  <sheetViews>
    <sheetView workbookViewId="0">
      <selection activeCell="A5" sqref="A5"/>
    </sheetView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146</v>
      </c>
    </row>
    <row r="2" spans="1:8" x14ac:dyDescent="0.25">
      <c r="A2" s="2" t="s">
        <v>147</v>
      </c>
    </row>
    <row r="4" spans="1:8" x14ac:dyDescent="0.25">
      <c r="A4" s="6" t="s">
        <v>102</v>
      </c>
      <c r="B4" s="6" t="s">
        <v>148</v>
      </c>
      <c r="C4" s="6" t="s">
        <v>149</v>
      </c>
      <c r="D4" s="6" t="s">
        <v>150</v>
      </c>
      <c r="E4" s="6" t="s">
        <v>151</v>
      </c>
      <c r="F4" s="6" t="s">
        <v>152</v>
      </c>
      <c r="G4" s="6" t="s">
        <v>153</v>
      </c>
      <c r="H4" s="6" t="s">
        <v>110</v>
      </c>
    </row>
    <row r="5" spans="1:8" x14ac:dyDescent="0.25">
      <c r="A5" s="19"/>
      <c r="B5" s="19"/>
      <c r="C5" s="19"/>
      <c r="D5" s="19"/>
      <c r="E5" s="19"/>
      <c r="F5" s="19"/>
      <c r="G5" s="19"/>
      <c r="H5" s="19"/>
    </row>
    <row r="6" spans="1:8" x14ac:dyDescent="0.25">
      <c r="A6" s="19"/>
      <c r="B6" s="19"/>
      <c r="C6" s="19"/>
      <c r="D6" s="19"/>
      <c r="E6" s="19"/>
      <c r="F6" s="19"/>
      <c r="G6" s="19"/>
      <c r="H6" s="19"/>
    </row>
    <row r="7" spans="1:8" x14ac:dyDescent="0.25">
      <c r="A7" s="19"/>
      <c r="B7" s="19"/>
      <c r="C7" s="19"/>
      <c r="D7" s="19"/>
      <c r="E7" s="19"/>
      <c r="F7" s="19"/>
      <c r="G7" s="19"/>
      <c r="H7" s="19"/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</sheetData>
  <sheetProtection sheet="1" objects="1" scenarios="1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1995"/>
  <sheetViews>
    <sheetView workbookViewId="0">
      <selection activeCell="A5" sqref="A5"/>
    </sheetView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154</v>
      </c>
    </row>
    <row r="2" spans="1:5" x14ac:dyDescent="0.25">
      <c r="A2" s="2" t="s">
        <v>155</v>
      </c>
    </row>
    <row r="4" spans="1:5" ht="30" x14ac:dyDescent="0.25">
      <c r="A4" s="6" t="s">
        <v>46</v>
      </c>
      <c r="B4" s="6" t="s">
        <v>47</v>
      </c>
      <c r="C4" s="6" t="s">
        <v>156</v>
      </c>
      <c r="D4" s="6" t="s">
        <v>157</v>
      </c>
      <c r="E4" s="6" t="s">
        <v>109</v>
      </c>
    </row>
    <row r="5" spans="1:5" x14ac:dyDescent="0.25">
      <c r="A5" s="19"/>
      <c r="B5" s="19"/>
      <c r="C5" s="19"/>
      <c r="D5" s="19"/>
      <c r="E5" s="19"/>
    </row>
    <row r="6" spans="1:5" x14ac:dyDescent="0.25">
      <c r="A6" s="19"/>
      <c r="B6" s="19"/>
      <c r="C6" s="19"/>
      <c r="D6" s="19"/>
      <c r="E6" s="19"/>
    </row>
    <row r="7" spans="1:5" x14ac:dyDescent="0.25">
      <c r="A7" s="19"/>
      <c r="B7" s="19"/>
      <c r="C7" s="19"/>
      <c r="D7" s="19"/>
      <c r="E7" s="19"/>
    </row>
    <row r="8" spans="1:5" x14ac:dyDescent="0.25">
      <c r="A8" s="19"/>
      <c r="B8" s="19"/>
      <c r="C8" s="19"/>
      <c r="D8" s="19"/>
      <c r="E8" s="19"/>
    </row>
    <row r="9" spans="1:5" x14ac:dyDescent="0.25">
      <c r="A9" s="19"/>
      <c r="B9" s="19"/>
      <c r="C9" s="19"/>
      <c r="D9" s="19"/>
      <c r="E9" s="19"/>
    </row>
    <row r="10" spans="1:5" x14ac:dyDescent="0.25">
      <c r="A10" s="19"/>
      <c r="B10" s="19"/>
      <c r="C10" s="19"/>
      <c r="D10" s="19"/>
      <c r="E10" s="19"/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</sheetData>
  <sheetProtection sheet="1" objects="1" scenarios="1" selectLockedCells="1"/>
  <dataValidations count="2">
    <dataValidation type="list" allowBlank="1" showErrorMessage="1" errorTitle="Invalid value" error="Value not in list" sqref="C5:C1995" xr:uid="{00000000-0002-0000-0700-000000000000}">
      <formula1>lstLocationType</formula1>
    </dataValidation>
    <dataValidation type="list" allowBlank="1" showErrorMessage="1" errorTitle="Invalid value" error="Value not in list" sqref="E5:E1995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162</v>
      </c>
    </row>
    <row r="2" spans="1:8" x14ac:dyDescent="0.25">
      <c r="A2" s="2" t="s">
        <v>163</v>
      </c>
    </row>
    <row r="4" spans="1:8" ht="15.75" x14ac:dyDescent="0.25">
      <c r="A4" s="3" t="s">
        <v>164</v>
      </c>
      <c r="H4" t="s">
        <v>28</v>
      </c>
    </row>
    <row r="5" spans="1:8" x14ac:dyDescent="0.25">
      <c r="A5" s="6" t="s">
        <v>165</v>
      </c>
      <c r="B5" s="6" t="s">
        <v>166</v>
      </c>
      <c r="C5" s="6" t="s">
        <v>157</v>
      </c>
      <c r="H5" t="s">
        <v>113</v>
      </c>
    </row>
    <row r="6" spans="1:8" x14ac:dyDescent="0.25">
      <c r="A6" t="s">
        <v>167</v>
      </c>
      <c r="B6" t="s">
        <v>168</v>
      </c>
      <c r="C6" t="s">
        <v>169</v>
      </c>
      <c r="H6" t="s">
        <v>27</v>
      </c>
    </row>
    <row r="7" spans="1:8" x14ac:dyDescent="0.25">
      <c r="A7" t="s">
        <v>170</v>
      </c>
      <c r="B7" t="s">
        <v>171</v>
      </c>
      <c r="C7" t="s">
        <v>172</v>
      </c>
    </row>
    <row r="8" spans="1:8" x14ac:dyDescent="0.25">
      <c r="A8" t="s">
        <v>173</v>
      </c>
      <c r="B8" t="s">
        <v>174</v>
      </c>
      <c r="C8" t="s">
        <v>175</v>
      </c>
      <c r="H8" t="s">
        <v>29</v>
      </c>
    </row>
    <row r="9" spans="1:8" x14ac:dyDescent="0.25">
      <c r="A9" t="s">
        <v>176</v>
      </c>
      <c r="B9" t="s">
        <v>122</v>
      </c>
      <c r="C9" t="s">
        <v>177</v>
      </c>
      <c r="H9" t="s">
        <v>24</v>
      </c>
    </row>
    <row r="10" spans="1:8" x14ac:dyDescent="0.25">
      <c r="A10" t="s">
        <v>178</v>
      </c>
      <c r="B10" t="s">
        <v>18</v>
      </c>
      <c r="C10" t="s">
        <v>179</v>
      </c>
      <c r="H10" t="s">
        <v>25</v>
      </c>
    </row>
    <row r="11" spans="1:8" x14ac:dyDescent="0.25">
      <c r="A11" t="s">
        <v>180</v>
      </c>
      <c r="B11" t="s">
        <v>181</v>
      </c>
      <c r="C11" t="s">
        <v>182</v>
      </c>
      <c r="H11" t="s">
        <v>26</v>
      </c>
    </row>
    <row r="12" spans="1:8" x14ac:dyDescent="0.25">
      <c r="A12" t="s">
        <v>183</v>
      </c>
      <c r="B12" t="s">
        <v>184</v>
      </c>
      <c r="C12" t="s">
        <v>185</v>
      </c>
      <c r="H12" t="s">
        <v>27</v>
      </c>
    </row>
    <row r="13" spans="1:8" x14ac:dyDescent="0.25">
      <c r="A13" s="7" t="s">
        <v>186</v>
      </c>
      <c r="H13" t="s">
        <v>28</v>
      </c>
    </row>
    <row r="14" spans="1:8" x14ac:dyDescent="0.25">
      <c r="G14" s="23" t="s">
        <v>156</v>
      </c>
    </row>
    <row r="15" spans="1:8" ht="15.75" x14ac:dyDescent="0.25">
      <c r="A15" s="3" t="s">
        <v>187</v>
      </c>
      <c r="H15" t="s">
        <v>158</v>
      </c>
    </row>
    <row r="16" spans="1:8" x14ac:dyDescent="0.25">
      <c r="A16" s="6" t="s">
        <v>188</v>
      </c>
      <c r="B16" s="6" t="s">
        <v>189</v>
      </c>
      <c r="H16" t="s">
        <v>160</v>
      </c>
    </row>
    <row r="17" spans="1:8" x14ac:dyDescent="0.25">
      <c r="A17" t="s">
        <v>18</v>
      </c>
      <c r="B17" t="s">
        <v>190</v>
      </c>
      <c r="H17" t="s">
        <v>159</v>
      </c>
    </row>
    <row r="18" spans="1:8" x14ac:dyDescent="0.25">
      <c r="A18" t="s">
        <v>121</v>
      </c>
      <c r="B18" t="s">
        <v>191</v>
      </c>
      <c r="H18" t="s">
        <v>161</v>
      </c>
    </row>
    <row r="19" spans="1:8" x14ac:dyDescent="0.25">
      <c r="A19" t="s">
        <v>123</v>
      </c>
      <c r="B19" t="s">
        <v>192</v>
      </c>
      <c r="H19" t="s">
        <v>193</v>
      </c>
    </row>
    <row r="20" spans="1:8" x14ac:dyDescent="0.25">
      <c r="A20" t="s">
        <v>194</v>
      </c>
      <c r="B20" t="s">
        <v>195</v>
      </c>
      <c r="H20" t="s">
        <v>196</v>
      </c>
    </row>
    <row r="21" spans="1:8" x14ac:dyDescent="0.25">
      <c r="A21" t="s">
        <v>124</v>
      </c>
      <c r="B21" t="s">
        <v>197</v>
      </c>
      <c r="G21" s="23" t="s">
        <v>118</v>
      </c>
    </row>
    <row r="22" spans="1:8" x14ac:dyDescent="0.25">
      <c r="A22" t="s">
        <v>126</v>
      </c>
      <c r="B22" t="s">
        <v>198</v>
      </c>
      <c r="H22" t="s">
        <v>125</v>
      </c>
    </row>
    <row r="23" spans="1:8" x14ac:dyDescent="0.25">
      <c r="H23" t="s">
        <v>123</v>
      </c>
    </row>
    <row r="24" spans="1:8" ht="15.75" x14ac:dyDescent="0.25">
      <c r="A24" s="3" t="s">
        <v>199</v>
      </c>
      <c r="H24" t="s">
        <v>194</v>
      </c>
    </row>
    <row r="25" spans="1:8" x14ac:dyDescent="0.25">
      <c r="A25" s="6" t="s">
        <v>200</v>
      </c>
      <c r="B25" s="6" t="s">
        <v>189</v>
      </c>
      <c r="H25" t="s">
        <v>126</v>
      </c>
    </row>
    <row r="26" spans="1:8" x14ac:dyDescent="0.25">
      <c r="A26" t="s">
        <v>139</v>
      </c>
      <c r="B26" t="s">
        <v>201</v>
      </c>
      <c r="H26" t="s">
        <v>196</v>
      </c>
    </row>
    <row r="27" spans="1:8" x14ac:dyDescent="0.25">
      <c r="A27" t="s">
        <v>140</v>
      </c>
      <c r="B27" t="s">
        <v>202</v>
      </c>
      <c r="G27" s="23" t="s">
        <v>203</v>
      </c>
    </row>
    <row r="28" spans="1:8" x14ac:dyDescent="0.25">
      <c r="A28" t="s">
        <v>141</v>
      </c>
      <c r="B28" t="s">
        <v>204</v>
      </c>
      <c r="H28" t="s">
        <v>125</v>
      </c>
    </row>
    <row r="29" spans="1:8" x14ac:dyDescent="0.25">
      <c r="A29" t="s">
        <v>144</v>
      </c>
      <c r="B29" t="s">
        <v>205</v>
      </c>
      <c r="H29" t="s">
        <v>123</v>
      </c>
    </row>
    <row r="30" spans="1:8" x14ac:dyDescent="0.25">
      <c r="A30" t="s">
        <v>143</v>
      </c>
      <c r="B30" t="s">
        <v>206</v>
      </c>
      <c r="H30" t="s">
        <v>194</v>
      </c>
    </row>
    <row r="31" spans="1:8" x14ac:dyDescent="0.25">
      <c r="A31" t="s">
        <v>142</v>
      </c>
      <c r="B31" t="s">
        <v>207</v>
      </c>
      <c r="H31" t="s">
        <v>126</v>
      </c>
    </row>
    <row r="32" spans="1:8" x14ac:dyDescent="0.25">
      <c r="A32" t="s">
        <v>208</v>
      </c>
      <c r="B32" t="s">
        <v>209</v>
      </c>
      <c r="H32" t="s">
        <v>210</v>
      </c>
    </row>
    <row r="33" spans="1:8" x14ac:dyDescent="0.25">
      <c r="A33" t="s">
        <v>145</v>
      </c>
      <c r="B33" t="s">
        <v>211</v>
      </c>
      <c r="H33" t="s">
        <v>196</v>
      </c>
    </row>
    <row r="34" spans="1:8" x14ac:dyDescent="0.25">
      <c r="A34" t="s">
        <v>212</v>
      </c>
      <c r="B34" t="s">
        <v>213</v>
      </c>
      <c r="G34" s="23" t="s">
        <v>214</v>
      </c>
    </row>
    <row r="35" spans="1:8" x14ac:dyDescent="0.25">
      <c r="H35" t="s">
        <v>181</v>
      </c>
    </row>
    <row r="36" spans="1:8" ht="15.75" x14ac:dyDescent="0.25">
      <c r="A36" s="3" t="s">
        <v>215</v>
      </c>
      <c r="H36" t="s">
        <v>216</v>
      </c>
    </row>
    <row r="37" spans="1:8" x14ac:dyDescent="0.25">
      <c r="A37" s="6" t="s">
        <v>217</v>
      </c>
      <c r="B37" s="6" t="s">
        <v>189</v>
      </c>
    </row>
    <row r="38" spans="1:8" x14ac:dyDescent="0.25">
      <c r="A38" t="s">
        <v>123</v>
      </c>
      <c r="B38" t="s">
        <v>218</v>
      </c>
    </row>
    <row r="39" spans="1:8" x14ac:dyDescent="0.25">
      <c r="A39" t="s">
        <v>219</v>
      </c>
      <c r="B39" t="s">
        <v>220</v>
      </c>
    </row>
    <row r="40" spans="1:8" x14ac:dyDescent="0.25">
      <c r="A40" t="s">
        <v>221</v>
      </c>
      <c r="B40" t="s">
        <v>222</v>
      </c>
    </row>
    <row r="41" spans="1:8" x14ac:dyDescent="0.25">
      <c r="A41" t="s">
        <v>223</v>
      </c>
      <c r="B41" t="s">
        <v>224</v>
      </c>
    </row>
    <row r="42" spans="1:8" x14ac:dyDescent="0.25">
      <c r="A42" t="s">
        <v>225</v>
      </c>
      <c r="B42" t="s">
        <v>226</v>
      </c>
    </row>
    <row r="45" spans="1:8" ht="15.75" x14ac:dyDescent="0.25">
      <c r="A45" s="3" t="s">
        <v>227</v>
      </c>
      <c r="G45" s="23" t="s">
        <v>95</v>
      </c>
      <c r="H45" s="23" t="s">
        <v>23</v>
      </c>
    </row>
    <row r="46" spans="1:8" x14ac:dyDescent="0.25">
      <c r="A46" s="7" t="s">
        <v>228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2026-08-19T20:35:11Z</dcterms:modified>
</cp:coreProperties>
</file>